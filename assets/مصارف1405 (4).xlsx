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Users\Tech House\Downloads\"/>
    </mc:Choice>
  </mc:AlternateContent>
  <xr:revisionPtr revIDLastSave="0" documentId="13_ncr:1_{1EBB92C2-7214-4E1C-9408-113AEEB25E71}" xr6:coauthVersionLast="47" xr6:coauthVersionMax="47" xr10:uidLastSave="{00000000-0000-0000-0000-000000000000}"/>
  <bookViews>
    <workbookView xWindow="-108" yWindow="-108" windowWidth="23256" windowHeight="12576" xr2:uid="{62CE2BE8-6AF6-4814-B98F-3F7A40BF078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J124" i="1" l="1"/>
  <c r="J123" i="1"/>
  <c r="J122" i="1"/>
  <c r="J121" i="1"/>
  <c r="J120" i="1"/>
  <c r="J119" i="1"/>
  <c r="J118" i="1"/>
  <c r="J117" i="1"/>
  <c r="J116" i="1"/>
  <c r="J115" i="1"/>
  <c r="J114" i="1"/>
  <c r="J113" i="1"/>
  <c r="J112" i="1"/>
  <c r="J111" i="1"/>
  <c r="J110" i="1"/>
  <c r="J109" i="1"/>
  <c r="J108" i="1"/>
  <c r="J107" i="1"/>
  <c r="J106" i="1"/>
  <c r="J105" i="1"/>
  <c r="J104" i="1"/>
  <c r="J103" i="1"/>
  <c r="J102" i="1"/>
  <c r="J101" i="1"/>
  <c r="J100" i="1"/>
  <c r="J99" i="1"/>
  <c r="J98" i="1"/>
  <c r="J97" i="1"/>
  <c r="J96" i="1"/>
  <c r="J95" i="1"/>
  <c r="J94" i="1"/>
  <c r="J93" i="1"/>
  <c r="J92" i="1"/>
  <c r="J91" i="1"/>
  <c r="J90" i="1"/>
  <c r="J89" i="1"/>
  <c r="J88" i="1"/>
  <c r="J87" i="1"/>
  <c r="J86" i="1"/>
  <c r="J85" i="1"/>
  <c r="J84" i="1"/>
  <c r="J83" i="1"/>
  <c r="J82" i="1"/>
  <c r="J81" i="1"/>
  <c r="J80" i="1"/>
  <c r="J79" i="1"/>
  <c r="J78" i="1"/>
  <c r="J77" i="1"/>
  <c r="J76" i="1"/>
  <c r="J75" i="1"/>
  <c r="J74" i="1"/>
  <c r="J73" i="1"/>
  <c r="J72" i="1"/>
  <c r="J71" i="1"/>
  <c r="J70" i="1"/>
  <c r="J69" i="1"/>
  <c r="J68" i="1"/>
  <c r="J67" i="1"/>
  <c r="J66" i="1"/>
  <c r="J65" i="1"/>
  <c r="J64" i="1"/>
  <c r="J63" i="1"/>
  <c r="J62" i="1"/>
  <c r="J61" i="1"/>
  <c r="J60" i="1"/>
  <c r="J59" i="1"/>
  <c r="J58" i="1"/>
  <c r="J57" i="1"/>
  <c r="J56" i="1"/>
  <c r="J55" i="1"/>
  <c r="J54" i="1"/>
  <c r="J53" i="1"/>
  <c r="J52" i="1"/>
  <c r="J51" i="1"/>
  <c r="J50" i="1"/>
  <c r="J49" i="1"/>
  <c r="J48" i="1"/>
  <c r="J47" i="1"/>
  <c r="J46" i="1"/>
  <c r="J45" i="1"/>
  <c r="J44" i="1"/>
  <c r="J43" i="1"/>
  <c r="J42" i="1"/>
  <c r="J41" i="1"/>
  <c r="J40" i="1"/>
  <c r="J39" i="1"/>
  <c r="J38" i="1"/>
  <c r="J37" i="1"/>
  <c r="J36" i="1"/>
  <c r="J35" i="1"/>
  <c r="J34" i="1"/>
  <c r="J33" i="1"/>
  <c r="J32" i="1"/>
  <c r="J31" i="1"/>
  <c r="J30" i="1"/>
  <c r="J29" i="1"/>
  <c r="J28" i="1"/>
  <c r="J27" i="1"/>
  <c r="J26" i="1"/>
  <c r="J25" i="1"/>
  <c r="J24" i="1"/>
  <c r="J23" i="1"/>
  <c r="J22" i="1"/>
  <c r="J21" i="1"/>
  <c r="J20" i="1"/>
  <c r="J19" i="1"/>
  <c r="J18" i="1"/>
  <c r="J17" i="1"/>
  <c r="J16" i="1"/>
  <c r="J15" i="1"/>
  <c r="J14" i="1"/>
  <c r="J13" i="1"/>
  <c r="J12" i="1"/>
  <c r="J11" i="1"/>
  <c r="J10" i="1"/>
  <c r="J9" i="1"/>
  <c r="J8" i="1"/>
  <c r="J7" i="1"/>
  <c r="J6" i="1"/>
  <c r="J5" i="1"/>
  <c r="J4" i="1"/>
  <c r="J3" i="1"/>
  <c r="J2" i="1"/>
</calcChain>
</file>

<file path=xl/sharedStrings.xml><?xml version="1.0" encoding="utf-8"?>
<sst xmlns="http://schemas.openxmlformats.org/spreadsheetml/2006/main" count="765" uniqueCount="368">
  <si>
    <t>تاریخ شمسی</t>
  </si>
  <si>
    <t>كتگوری</t>
  </si>
  <si>
    <t>1405-001</t>
  </si>
  <si>
    <t>اعاشه</t>
  </si>
  <si>
    <t>گوشت گوسفند / شیر / قید 2 بل</t>
  </si>
  <si>
    <t>افغانی</t>
  </si>
  <si>
    <t>1405-002</t>
  </si>
  <si>
    <t>گوشت گوسفند / ترکاری /قید 2 بل</t>
  </si>
  <si>
    <t>1405-003</t>
  </si>
  <si>
    <t>پطرول موتر فابریکه</t>
  </si>
  <si>
    <t>17.86لیتر پطرول</t>
  </si>
  <si>
    <t>380-221</t>
  </si>
  <si>
    <t>1405-004</t>
  </si>
  <si>
    <t>پرزه جات  ماشین الات</t>
  </si>
  <si>
    <t>کیبل کرن جین کرن/فلتر/جین هوا / قید 3 بل</t>
  </si>
  <si>
    <t>1405-005</t>
  </si>
  <si>
    <t>گوشت گوسفند/شیر / قید 2 بل</t>
  </si>
  <si>
    <t>1405-006</t>
  </si>
  <si>
    <t>بیرینگ  63.5</t>
  </si>
  <si>
    <t>1405-007</t>
  </si>
  <si>
    <t xml:space="preserve">ترمیم ماشین الات </t>
  </si>
  <si>
    <t>ترمیم زرنج</t>
  </si>
  <si>
    <t>664-997</t>
  </si>
  <si>
    <t>1405-008</t>
  </si>
  <si>
    <t>جر شافت/نل ؛ بیلت ؛ چهار در چهار / قید 2بل</t>
  </si>
  <si>
    <t>256-1768</t>
  </si>
  <si>
    <t>1405-009</t>
  </si>
  <si>
    <t>گوشت گوسفند 9کیلو/ترکاری میوه/شیر چکه / قید 4 بل</t>
  </si>
  <si>
    <t>1405-010</t>
  </si>
  <si>
    <t xml:space="preserve">ترانسپورت </t>
  </si>
  <si>
    <t xml:space="preserve">کرایه زرنج برای شافت پلیت </t>
  </si>
  <si>
    <t>2920-253</t>
  </si>
  <si>
    <t>1405-011</t>
  </si>
  <si>
    <t>گوشت گوسفند/ خلال شیر/خرما/ قید 3 بل</t>
  </si>
  <si>
    <t>1405-012</t>
  </si>
  <si>
    <t>مصارف اداری بیرونی</t>
  </si>
  <si>
    <t>مجراتی برای مشتریان بابت کمبود تولید</t>
  </si>
  <si>
    <t>دالر</t>
  </si>
  <si>
    <t>373-17320</t>
  </si>
  <si>
    <t>1405-013</t>
  </si>
  <si>
    <t>مواد ارتزاقی /22.55 کیلو کاز/ترکاری / قید 3 بل</t>
  </si>
  <si>
    <t>1405-014</t>
  </si>
  <si>
    <t>روغنیات ماشین الات و چرب کاری مواد</t>
  </si>
  <si>
    <t>120لیتر دیزل و 13.600 لیتر پطرول/120لیتر دیزل / قید 2بل</t>
  </si>
  <si>
    <t>1405-015</t>
  </si>
  <si>
    <t>پالش/ واشل سرش/ کتاوت/ سرویس و گازماشن کمپراسول /قید 4 بل</t>
  </si>
  <si>
    <t>1405-016</t>
  </si>
  <si>
    <t xml:space="preserve">بریج 200 ولت </t>
  </si>
  <si>
    <t>1405-017</t>
  </si>
  <si>
    <t xml:space="preserve">17لیتر پطرول </t>
  </si>
  <si>
    <t>306-39</t>
  </si>
  <si>
    <t>1405-018</t>
  </si>
  <si>
    <t>بیرینگ /تیمپل ساده / برینگ کرن/ قید 3 بل</t>
  </si>
  <si>
    <t>296-1776</t>
  </si>
  <si>
    <t>1405-019</t>
  </si>
  <si>
    <t>گوشت گوسفند / خلال مایع ظرف / شیر / قید 3 بل</t>
  </si>
  <si>
    <t>1405-020</t>
  </si>
  <si>
    <t>پاکینگ موتر و سرای داری کرن</t>
  </si>
  <si>
    <t>1405-021</t>
  </si>
  <si>
    <t xml:space="preserve">تدوای رازمحمد </t>
  </si>
  <si>
    <t>1781-274</t>
  </si>
  <si>
    <t>1405-022</t>
  </si>
  <si>
    <t>گوشت گوسفند /شیر /خلال گاز / قید 3 بل</t>
  </si>
  <si>
    <t>1405-023</t>
  </si>
  <si>
    <t>اداری</t>
  </si>
  <si>
    <t xml:space="preserve">سه جوره چپلک </t>
  </si>
  <si>
    <t>323-527</t>
  </si>
  <si>
    <t>1405-024</t>
  </si>
  <si>
    <t>رجه/ برس/ برینگ / وال / قید 4 بل</t>
  </si>
  <si>
    <t>333-127</t>
  </si>
  <si>
    <t>1405-025</t>
  </si>
  <si>
    <t>چراغ کاوه و لیم کاوه /سویج/قلف دروازه/ قید 3 بل</t>
  </si>
  <si>
    <t>1405-026</t>
  </si>
  <si>
    <t xml:space="preserve">هفتگی عثمان </t>
  </si>
  <si>
    <t>1405-027</t>
  </si>
  <si>
    <t>1405-028</t>
  </si>
  <si>
    <t xml:space="preserve">کرایه موتر حاجی صاحب امان و همایون عثمان </t>
  </si>
  <si>
    <t>1405-029</t>
  </si>
  <si>
    <t xml:space="preserve">گوشت گوسفند/خلال مایع ظرف بولانی / قید 2 بل </t>
  </si>
  <si>
    <t>1405-030</t>
  </si>
  <si>
    <t>بولی کش</t>
  </si>
  <si>
    <t>1405-031</t>
  </si>
  <si>
    <t>420لیتر دیزل</t>
  </si>
  <si>
    <t>1405-032</t>
  </si>
  <si>
    <t xml:space="preserve">17 لیتر پطرول </t>
  </si>
  <si>
    <t>1405-033</t>
  </si>
  <si>
    <t xml:space="preserve">هایدرولیک </t>
  </si>
  <si>
    <t>1405-034</t>
  </si>
  <si>
    <t xml:space="preserve">سیخ ولدینگ قیچی آهنی </t>
  </si>
  <si>
    <t>1405-035</t>
  </si>
  <si>
    <t>چاپ کارت و چاپ وبلاک</t>
  </si>
  <si>
    <t>1405-036</t>
  </si>
  <si>
    <t>تیلفون/انترنت</t>
  </si>
  <si>
    <t>کارت حاجی صاحب امان</t>
  </si>
  <si>
    <t>1405-037</t>
  </si>
  <si>
    <t>کرایه پل اره</t>
  </si>
  <si>
    <t>1796-1793</t>
  </si>
  <si>
    <t>1405-038</t>
  </si>
  <si>
    <t>گوشت گوسفند/ شیر /شیر/ ترکاری/ قید 4 بل</t>
  </si>
  <si>
    <t>1405-039</t>
  </si>
  <si>
    <t>انجینر برق</t>
  </si>
  <si>
    <t>1405-040</t>
  </si>
  <si>
    <t xml:space="preserve">تداوی راز محمد </t>
  </si>
  <si>
    <t>1405-041</t>
  </si>
  <si>
    <t xml:space="preserve">بولت </t>
  </si>
  <si>
    <t>1405-042</t>
  </si>
  <si>
    <t>خرید موترسیکل</t>
  </si>
  <si>
    <t>1405-043</t>
  </si>
  <si>
    <t xml:space="preserve">کیبورد </t>
  </si>
  <si>
    <t>1405-044</t>
  </si>
  <si>
    <t xml:space="preserve">کرید کارت شاه محمد </t>
  </si>
  <si>
    <t>1405-045</t>
  </si>
  <si>
    <t>تداوی دست راز محمد</t>
  </si>
  <si>
    <t>1405-046</t>
  </si>
  <si>
    <t xml:space="preserve">زانوخم </t>
  </si>
  <si>
    <t>1405-047</t>
  </si>
  <si>
    <t>قاشق /ترکاری گاز / قید 2 بل</t>
  </si>
  <si>
    <t>287-1706</t>
  </si>
  <si>
    <t>1405-048</t>
  </si>
  <si>
    <t>گوشت گوسفند/ گاز خلال / شیر / قید 4 بل</t>
  </si>
  <si>
    <t>1405-049</t>
  </si>
  <si>
    <t xml:space="preserve">کارت نعیم و کارت همایون </t>
  </si>
  <si>
    <t>1405-050</t>
  </si>
  <si>
    <t>8.92لیتر پطرول</t>
  </si>
  <si>
    <t>4228-70-544</t>
  </si>
  <si>
    <t>1405-051</t>
  </si>
  <si>
    <t xml:space="preserve">پولی/شش رخی بولت/برینگ/ قید 3 </t>
  </si>
  <si>
    <t>1405-052</t>
  </si>
  <si>
    <t>دبل /بولت و پیج/ قید 2 بل</t>
  </si>
  <si>
    <t>15543-1712</t>
  </si>
  <si>
    <t>1405-053</t>
  </si>
  <si>
    <t>گوشت گوسفند/22.54کیلو گاز/چکه/سیم ظرف و ترکاری / قید 4 بل</t>
  </si>
  <si>
    <t>288-211</t>
  </si>
  <si>
    <t>1405-054</t>
  </si>
  <si>
    <t>وال گاز خلال/ ترکاری /3یوجی برنج و بوره /قید 2بل</t>
  </si>
  <si>
    <t>1405-055</t>
  </si>
  <si>
    <t>ترمیم موتر فابریکه</t>
  </si>
  <si>
    <t xml:space="preserve">ترمیم موتر </t>
  </si>
  <si>
    <t>1405-056</t>
  </si>
  <si>
    <t>439-386</t>
  </si>
  <si>
    <t>1405-057</t>
  </si>
  <si>
    <t>لک کول / وسایل ترمیم تشناب / قید 2 بل</t>
  </si>
  <si>
    <t>1405-058</t>
  </si>
  <si>
    <t xml:space="preserve">بدرک کرن </t>
  </si>
  <si>
    <t>1405-059</t>
  </si>
  <si>
    <t xml:space="preserve">بدرک C.D آفیس کامپیوتر </t>
  </si>
  <si>
    <t>1405-060</t>
  </si>
  <si>
    <t xml:space="preserve">روغن / برنج و سیمکارت </t>
  </si>
  <si>
    <t>1405-061</t>
  </si>
  <si>
    <t xml:space="preserve">خرید پرزه جات (دیوید ، مقاومت ، موسفت ، و کپستر) توسط عثمان </t>
  </si>
  <si>
    <t>1405-062</t>
  </si>
  <si>
    <t>بیرینگ</t>
  </si>
  <si>
    <t>846-15480</t>
  </si>
  <si>
    <t>1405-063</t>
  </si>
  <si>
    <t xml:space="preserve">خرما / پلاستیک سیاه / قید 2 بل </t>
  </si>
  <si>
    <t>1728-899</t>
  </si>
  <si>
    <t>1405-064</t>
  </si>
  <si>
    <t xml:space="preserve">گوشت گوسفند / شیر / ترکاری قید 3 بل </t>
  </si>
  <si>
    <t>1405-065</t>
  </si>
  <si>
    <t>کرایه موتر حاجی صاحب امان  و همایون</t>
  </si>
  <si>
    <t>1405-066</t>
  </si>
  <si>
    <t xml:space="preserve">اجرا نلدوان </t>
  </si>
  <si>
    <t>1405-067</t>
  </si>
  <si>
    <t xml:space="preserve">پول تراسپورت پاسپورت ریاض از هرات </t>
  </si>
  <si>
    <t>1405-068</t>
  </si>
  <si>
    <t>1405-069</t>
  </si>
  <si>
    <t xml:space="preserve">آب معدنی برای ماشن آلات تولیدی </t>
  </si>
  <si>
    <t>1405-070</t>
  </si>
  <si>
    <t>گوشت مرغ / خلال/شیر /قید 3 بل</t>
  </si>
  <si>
    <t>1405-071</t>
  </si>
  <si>
    <t>گوشت گوسفند/شیر/ترکاری / قید 3 بل</t>
  </si>
  <si>
    <t>1405-072</t>
  </si>
  <si>
    <t>کارت حاجی صاحب ظاهر و کرایه همایون</t>
  </si>
  <si>
    <t>1405-073</t>
  </si>
  <si>
    <t>کرایه موتر کارد بلیت</t>
  </si>
  <si>
    <t>1405-074</t>
  </si>
  <si>
    <t xml:space="preserve">16لیتر پطرول </t>
  </si>
  <si>
    <t>1405-075</t>
  </si>
  <si>
    <t>دستکش /سیخ ولدینک پل برش / قید 2 بل</t>
  </si>
  <si>
    <t>1405-076</t>
  </si>
  <si>
    <t>بلیت 152ملی کادر 5*10</t>
  </si>
  <si>
    <t>356-146</t>
  </si>
  <si>
    <t>1405-077</t>
  </si>
  <si>
    <t>ترکاری گاز مایع دست شویی / میوه خشک / قید 2 بل</t>
  </si>
  <si>
    <t>1405-078</t>
  </si>
  <si>
    <t>گوشت گوسفند /شیر / ترکاری / قید 3 بل</t>
  </si>
  <si>
    <t>1405-079</t>
  </si>
  <si>
    <t xml:space="preserve">14.39لیتر پطرول </t>
  </si>
  <si>
    <t>1405-080</t>
  </si>
  <si>
    <t>سیاه ایل</t>
  </si>
  <si>
    <t>1405-081</t>
  </si>
  <si>
    <t>سنگ برش/گراری / قید 2 بل</t>
  </si>
  <si>
    <t>1405-082</t>
  </si>
  <si>
    <t>سه نوع برینگ</t>
  </si>
  <si>
    <t>1405-083</t>
  </si>
  <si>
    <t xml:space="preserve">پر کاری موتر </t>
  </si>
  <si>
    <t>15316-1749</t>
  </si>
  <si>
    <t>1405-084</t>
  </si>
  <si>
    <t>گوشت گوسفند/18.18کیلو گاز /شیر وچکه / قید 3 بل</t>
  </si>
  <si>
    <t>1405-085</t>
  </si>
  <si>
    <t>روغن پنبه دانه / ترکاری / قید 2 بل</t>
  </si>
  <si>
    <t>1405-086</t>
  </si>
  <si>
    <t>1405-087</t>
  </si>
  <si>
    <t xml:space="preserve">سیاه ایل </t>
  </si>
  <si>
    <t>1405-088</t>
  </si>
  <si>
    <t xml:space="preserve">سرش سنگ برش پلاس </t>
  </si>
  <si>
    <t>1405-089</t>
  </si>
  <si>
    <t xml:space="preserve">صافی لیلامی کرایه موتر  ان / قید 2 بل </t>
  </si>
  <si>
    <t>767-360</t>
  </si>
  <si>
    <t>1405-090</t>
  </si>
  <si>
    <t>گوشت گوسفند /شیر چکه/ترکاری گاز / قید 3 بل</t>
  </si>
  <si>
    <t>1405-091</t>
  </si>
  <si>
    <t xml:space="preserve">ورق a4به دفتر </t>
  </si>
  <si>
    <t>1405-092</t>
  </si>
  <si>
    <t>1405-093</t>
  </si>
  <si>
    <t>1405-094</t>
  </si>
  <si>
    <t>آرد برنج روغن برای خیرات</t>
  </si>
  <si>
    <t>1405-095</t>
  </si>
  <si>
    <t xml:space="preserve">میوه خشک برای تحفه </t>
  </si>
  <si>
    <t>1405-096</t>
  </si>
  <si>
    <t>پول وای فای انترنت فابریکه</t>
  </si>
  <si>
    <t>1405-097</t>
  </si>
  <si>
    <t xml:space="preserve">اب مقطر </t>
  </si>
  <si>
    <t>774-374</t>
  </si>
  <si>
    <t>1405-098</t>
  </si>
  <si>
    <t xml:space="preserve">گوشت گوسفند / شیر ماست/گاز مصاله / قید 3 بل </t>
  </si>
  <si>
    <t>1405-099</t>
  </si>
  <si>
    <t xml:space="preserve">گوشت مرغ /شیر تخم / قید 2 بل </t>
  </si>
  <si>
    <t>1405-100</t>
  </si>
  <si>
    <t xml:space="preserve">گوشت گوسفند / شیر/ رومی چکه مایع ظرفشوی / قید 3 بل </t>
  </si>
  <si>
    <t>1405-101</t>
  </si>
  <si>
    <t xml:space="preserve">کارت مدیر جاوید و کارت مدیر ولید </t>
  </si>
  <si>
    <t>1405-102</t>
  </si>
  <si>
    <t xml:space="preserve">بوجی </t>
  </si>
  <si>
    <t>1405-103</t>
  </si>
  <si>
    <t xml:space="preserve">بیرینگ/ سمنت 1بوجی / قید 2 بل </t>
  </si>
  <si>
    <t>1405-104</t>
  </si>
  <si>
    <t xml:space="preserve">بلیت  </t>
  </si>
  <si>
    <t>793-386</t>
  </si>
  <si>
    <t>1405-105</t>
  </si>
  <si>
    <t>گوشت گوسفند/شیر/ماست ترکاری / قید 3 بل</t>
  </si>
  <si>
    <t>1405-106</t>
  </si>
  <si>
    <t>14کیلو گوشت گوسفند برای خیرات</t>
  </si>
  <si>
    <t>1405-107</t>
  </si>
  <si>
    <t xml:space="preserve">گوشت گوسفند </t>
  </si>
  <si>
    <t>1405-108</t>
  </si>
  <si>
    <t>1405-109</t>
  </si>
  <si>
    <t xml:space="preserve">16.39لیتر پطرول </t>
  </si>
  <si>
    <t>1405-110</t>
  </si>
  <si>
    <t xml:space="preserve">کارت حاجی صاحب امان </t>
  </si>
  <si>
    <t>1405-111</t>
  </si>
  <si>
    <t xml:space="preserve">کرایه موتر همایون و حاجی صاحب امان </t>
  </si>
  <si>
    <t>1405-112</t>
  </si>
  <si>
    <t xml:space="preserve">عیدی برای مدیران دفتر </t>
  </si>
  <si>
    <t>1405-113</t>
  </si>
  <si>
    <t>1405-114</t>
  </si>
  <si>
    <t xml:space="preserve">کمک به مساکین </t>
  </si>
  <si>
    <t>1405-115</t>
  </si>
  <si>
    <t xml:space="preserve">تکت طیاره انحینر حبیب توسط حاجی صاحب امان </t>
  </si>
  <si>
    <t>1405-116</t>
  </si>
  <si>
    <t>1405-117</t>
  </si>
  <si>
    <t>1405-118</t>
  </si>
  <si>
    <t>پل اره 2.5ملی و3ملی</t>
  </si>
  <si>
    <t>1405-119</t>
  </si>
  <si>
    <t xml:space="preserve">بدرک سفر خرچی عثمان و ریاض </t>
  </si>
  <si>
    <t>1405-120</t>
  </si>
  <si>
    <t>معاشات پرسونل فابریکه</t>
  </si>
  <si>
    <t>معاشات کارمندان</t>
  </si>
  <si>
    <t>1405-121</t>
  </si>
  <si>
    <t xml:space="preserve">معاشات کارمندان انجینران مسلکی  </t>
  </si>
  <si>
    <t>1405-122</t>
  </si>
  <si>
    <t>مصرف دفتر فروشات</t>
  </si>
  <si>
    <t>1405-123</t>
  </si>
  <si>
    <t>صرفیه برق</t>
  </si>
  <si>
    <t xml:space="preserve">صرفیه بل برق ماه قوس </t>
  </si>
  <si>
    <t>1405-124</t>
  </si>
  <si>
    <t xml:space="preserve">پطرول موتر فابریکه </t>
  </si>
  <si>
    <t>1405-125</t>
  </si>
  <si>
    <t xml:space="preserve">پاس پاس و نت بلت </t>
  </si>
  <si>
    <t>1405-126</t>
  </si>
  <si>
    <t>جین و کلفت و پل موکت بر</t>
  </si>
  <si>
    <t>1405-127</t>
  </si>
  <si>
    <t xml:space="preserve">کیبل کرن </t>
  </si>
  <si>
    <t>1405-128</t>
  </si>
  <si>
    <t>1405-129</t>
  </si>
  <si>
    <t xml:space="preserve">رومی و ترکاری </t>
  </si>
  <si>
    <t>1405-130</t>
  </si>
  <si>
    <t xml:space="preserve">گاز و مایع ظرف شویی وغیره </t>
  </si>
  <si>
    <t>1405-131</t>
  </si>
  <si>
    <t xml:space="preserve">مواد خوراکه برای اشپزخانه </t>
  </si>
  <si>
    <t>1405-132</t>
  </si>
  <si>
    <t xml:space="preserve">ارد ، روغن لوبیا و شکر بابت خیرات </t>
  </si>
  <si>
    <t>1405-133</t>
  </si>
  <si>
    <t xml:space="preserve">روغن پنبه دانه </t>
  </si>
  <si>
    <t>1405-134</t>
  </si>
  <si>
    <t xml:space="preserve">میوه خشک برای دفتر </t>
  </si>
  <si>
    <t>1405-135</t>
  </si>
  <si>
    <t xml:space="preserve">پیاز ، کچالو  ومرج  ، سیر </t>
  </si>
  <si>
    <t>1405-136</t>
  </si>
  <si>
    <t>کرایه زرنچ  مواد خوراکه</t>
  </si>
  <si>
    <t>1405-137</t>
  </si>
  <si>
    <t>1405-138</t>
  </si>
  <si>
    <t xml:space="preserve">مرغ  5 عدد </t>
  </si>
  <si>
    <t>1405-139</t>
  </si>
  <si>
    <t>1405-140</t>
  </si>
  <si>
    <t xml:space="preserve">خلال ، رومی و ماست و ترکاری </t>
  </si>
  <si>
    <t>1405-141</t>
  </si>
  <si>
    <t xml:space="preserve">گاز 30 کیلو </t>
  </si>
  <si>
    <t>1405-142</t>
  </si>
  <si>
    <t xml:space="preserve">کریدت کارت دروازه </t>
  </si>
  <si>
    <t xml:space="preserve">میوه روز های عید </t>
  </si>
  <si>
    <t xml:space="preserve">کرایه موتر حاجی امان </t>
  </si>
  <si>
    <t>1405-143</t>
  </si>
  <si>
    <t>1405-144</t>
  </si>
  <si>
    <t xml:space="preserve">فین بلت </t>
  </si>
  <si>
    <t>1405-145</t>
  </si>
  <si>
    <t xml:space="preserve">تیزاب 2 بشکه </t>
  </si>
  <si>
    <t>1405-146</t>
  </si>
  <si>
    <t xml:space="preserve">هایدرولیک 25 لیتره 2 بشکه </t>
  </si>
  <si>
    <t>1405-147</t>
  </si>
  <si>
    <t xml:space="preserve">اکسیجن </t>
  </si>
  <si>
    <t>1405-148</t>
  </si>
  <si>
    <t>1405-149</t>
  </si>
  <si>
    <t xml:space="preserve">شیشه پاک کن  ، مایع ظرف شویی </t>
  </si>
  <si>
    <t>1405-150</t>
  </si>
  <si>
    <t xml:space="preserve">کرایه تکسی همایون </t>
  </si>
  <si>
    <t>شماره ثبت</t>
  </si>
  <si>
    <t xml:space="preserve">شماره بل </t>
  </si>
  <si>
    <t>تاریخ انگلیسی</t>
  </si>
  <si>
    <t>1404-12-1</t>
  </si>
  <si>
    <t>1404-12-2</t>
  </si>
  <si>
    <t>1404-12-3</t>
  </si>
  <si>
    <t>1404-12-4</t>
  </si>
  <si>
    <t>1404-12--5</t>
  </si>
  <si>
    <t>1404-12-5</t>
  </si>
  <si>
    <t>1404-12-6</t>
  </si>
  <si>
    <t>1404-12-7</t>
  </si>
  <si>
    <t>1404-12-8</t>
  </si>
  <si>
    <t>1404-12-9</t>
  </si>
  <si>
    <t>1404-12-10</t>
  </si>
  <si>
    <t>1404-12-12</t>
  </si>
  <si>
    <t>1404-12-11</t>
  </si>
  <si>
    <t>1404-12-13</t>
  </si>
  <si>
    <t>1404-12-14</t>
  </si>
  <si>
    <t>1404-12-15</t>
  </si>
  <si>
    <t>1404-12-16</t>
  </si>
  <si>
    <t>1404-12-17</t>
  </si>
  <si>
    <t>1404-12-18</t>
  </si>
  <si>
    <t>1404-12-19</t>
  </si>
  <si>
    <t>1404--12-20</t>
  </si>
  <si>
    <t>1404-12-21</t>
  </si>
  <si>
    <t>1404-12-22</t>
  </si>
  <si>
    <t>1404-12-23</t>
  </si>
  <si>
    <t>1404-12-24</t>
  </si>
  <si>
    <t>1404-12-25</t>
  </si>
  <si>
    <t>1404-12-26</t>
  </si>
  <si>
    <t>1404-12-27</t>
  </si>
  <si>
    <t>1404-12-29</t>
  </si>
  <si>
    <t>1404-01-02</t>
  </si>
  <si>
    <t>1404-01-04</t>
  </si>
  <si>
    <t>1404-01-05</t>
  </si>
  <si>
    <t>1404-01-08</t>
  </si>
  <si>
    <t>قیمت</t>
  </si>
  <si>
    <t>واحد پول</t>
  </si>
  <si>
    <t xml:space="preserve">توضیحات </t>
  </si>
  <si>
    <t>نرخ تبدیل</t>
  </si>
  <si>
    <t>معادل دلاری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</si>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</sst>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43" formatCode="_(* #,##0.00_);_(* \(#,##0.00\);_(* &quot;-&quot;??_);_(@_)"/>
  </numFmts>
  <fonts count="6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name val="Arial"/>
      <charset val="134"/>
    </font>
    <font>
      <b/>
      <sz val="9"/>
      <name val="Times New Roman"/>
      <charset val="134"/>
    </font>
    <font>
      <sz val="9"/>
      <name val="Times New Roman"/>
      <charset val="134"/>
    </font>
    <font>
      <sz val="9"/>
      <color theme="1"/>
      <name val="Times New Roman"/>
      <charset val="134"/>
    </font>
  </fonts>
  <fills count="4">
    <fill>
      <patternFill patternType="none"/>
    </fill>
    <fill>
      <patternFill patternType="gray125"/>
    </fill>
    <fill>
      <patternFill patternType="solid">
        <fgColor theme="4" tint="0.79995117038483843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0" fontId="2" fillId="0" borderId="0"/>
    <xf numFmtId="44" fontId="2" fillId="0" borderId="0" applyFont="0" applyFill="0" applyBorder="0" applyAlignment="0" applyProtection="0"/>
  </cellStyleXfs>
  <cellXfs count="22">
    <xf numFmtId="0" fontId="0" fillId="0" borderId="0" xfId="0"/>
    <xf numFmtId="0" fontId="3" fillId="2" borderId="0" xfId="2" applyFont="1" applyFill="1" applyAlignment="1">
      <alignment horizontal="center" vertical="center"/>
    </xf>
    <xf numFmtId="0" fontId="3" fillId="2" borderId="0" xfId="2" applyFont="1" applyFill="1" applyAlignment="1">
      <alignment horizontal="right" vertical="center"/>
    </xf>
    <xf numFmtId="43" fontId="3" fillId="2" borderId="0" xfId="1" applyFont="1" applyFill="1" applyBorder="1" applyAlignment="1">
      <alignment horizontal="center" vertical="center"/>
    </xf>
    <xf numFmtId="43" fontId="3" fillId="2" borderId="0" xfId="1" applyFont="1" applyFill="1" applyBorder="1" applyAlignment="1">
      <alignment vertical="center"/>
    </xf>
    <xf numFmtId="2" fontId="3" fillId="2" borderId="0" xfId="2" applyNumberFormat="1" applyFont="1" applyFill="1" applyAlignment="1">
      <alignment horizontal="center" vertical="center"/>
    </xf>
    <xf numFmtId="44" fontId="3" fillId="2" borderId="0" xfId="3" applyFont="1" applyFill="1" applyBorder="1" applyAlignment="1">
      <alignment horizontal="center" vertical="center"/>
    </xf>
    <xf numFmtId="14" fontId="5" fillId="0" borderId="0" xfId="0" applyNumberFormat="1" applyFont="1" applyAlignment="1">
      <alignment horizontal="center"/>
    </xf>
    <xf numFmtId="0" fontId="5" fillId="0" borderId="0" xfId="0" applyFont="1" applyAlignment="1">
      <alignment horizontal="center"/>
    </xf>
    <xf numFmtId="0" fontId="5" fillId="0" borderId="0" xfId="0" applyFont="1" applyAlignment="1">
      <alignment horizontal="right"/>
    </xf>
    <xf numFmtId="43" fontId="5" fillId="0" borderId="0" xfId="1" applyFont="1" applyAlignment="1">
      <alignment horizontal="center"/>
    </xf>
    <xf numFmtId="2" fontId="4" fillId="0" borderId="0" xfId="2" applyNumberFormat="1" applyFont="1" applyAlignment="1">
      <alignment vertical="center"/>
    </xf>
    <xf numFmtId="44" fontId="4" fillId="2" borderId="0" xfId="3" applyFont="1" applyFill="1" applyAlignment="1">
      <alignment vertical="center"/>
    </xf>
    <xf numFmtId="43" fontId="5" fillId="0" borderId="0" xfId="1" applyFont="1" applyBorder="1" applyAlignment="1">
      <alignment horizontal="center"/>
    </xf>
    <xf numFmtId="43" fontId="5" fillId="0" borderId="0" xfId="1" applyFont="1" applyFill="1" applyBorder="1" applyAlignment="1">
      <alignment horizontal="center"/>
    </xf>
    <xf numFmtId="0" fontId="5" fillId="3" borderId="0" xfId="0" applyFont="1" applyFill="1" applyAlignment="1">
      <alignment horizontal="center"/>
    </xf>
    <xf numFmtId="16" fontId="5" fillId="0" borderId="0" xfId="0" applyNumberFormat="1" applyFont="1" applyAlignment="1">
      <alignment horizontal="center"/>
    </xf>
    <xf numFmtId="43" fontId="5" fillId="0" borderId="0" xfId="1" applyFont="1" applyFill="1" applyBorder="1" applyAlignment="1">
      <alignment horizontal="center" vertical="center"/>
    </xf>
    <xf numFmtId="0" fontId="5" fillId="0" borderId="0" xfId="0" applyFont="1" applyAlignment="1">
      <alignment horizontal="right" vertical="center"/>
    </xf>
    <xf numFmtId="43" fontId="5" fillId="0" borderId="0" xfId="1" applyFont="1" applyBorder="1" applyAlignment="1">
      <alignment horizontal="center" vertical="center"/>
    </xf>
    <xf numFmtId="16" fontId="5" fillId="3" borderId="0" xfId="0" applyNumberFormat="1" applyFont="1" applyFill="1" applyAlignment="1">
      <alignment horizontal="center"/>
    </xf>
    <xf numFmtId="0" fontId="5" fillId="0" borderId="0" xfId="0" applyFont="1" applyAlignment="1">
      <alignment horizontal="right" wrapText="1"/>
    </xf>
  </cellXfs>
  <cellStyles count="4">
    <cellStyle name="Comma" xfId="1" builtinId="3"/>
    <cellStyle name="Currency 2" xfId="3" xr:uid="{752D87B9-B6D6-4075-AD97-1F409FE9B46B}"/>
    <cellStyle name="Normal" xfId="0" builtinId="0"/>
    <cellStyle name="Normal 2" xfId="2" xr:uid="{D380DD03-8798-4A46-90C5-6A65E336218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9A3E29-EFA7-4222-8E2E-4BC7430D848E}">
  <dimension ref="A1:K153"/>
  <sheetViews>
    <sheetView tabSelected="1" zoomScaleNormal="100" workbookViewId="0">
      <selection activeCell="J9" sqref="J9"/>
    </sheetView>
  </sheetViews>
  <sheetFormatPr defaultRowHeight="13.8"/>
  <cols>
    <col min="5" max="5" width="23.69921875" customWidth="1"/>
    <col min="6" max="6" width="38.69921875" customWidth="1"/>
    <col min="13" max="13" width="14.3984375" customWidth="1"/>
  </cols>
  <sheetData>
    <row r="1" spans="1:11">
      <c r="A1" s="1" t="s">
        <v>327</v>
      </c>
      <c r="B1" s="1" t="s">
        <v>326</v>
      </c>
      <c r="C1" s="1" t="s">
        <v>0</v>
      </c>
      <c r="D1" s="1" t="s">
        <v>328</v>
      </c>
      <c r="E1" s="1" t="s">
        <v>1</v>
      </c>
      <c r="F1" s="2" t="s">
        <v>364</v>
      </c>
      <c r="G1" s="3" t="s">
        <v>362</v>
      </c>
      <c r="H1" s="4" t="s">
        <v>363</v>
      </c>
      <c r="I1" s="5" t="s">
        <v>365</v>
      </c>
      <c r="J1" s="6" t="s">
        <v>366</v>
      </c>
    </row>
    <row r="2" spans="1:11">
      <c r="A2" s="8"/>
      <c r="B2" s="8" t="s">
        <v>2</v>
      </c>
      <c r="C2" s="7" t="s">
        <v>329</v>
      </c>
      <c r="D2" s="8"/>
      <c r="E2" s="8" t="s">
        <v>3</v>
      </c>
      <c r="F2" s="9" t="s">
        <v>4</v>
      </c>
      <c r="G2" s="10">
        <v>1510</v>
      </c>
      <c r="H2" s="10" t="s">
        <v>5</v>
      </c>
      <c r="I2" s="11">
        <v>64.8</v>
      </c>
      <c r="J2" s="12">
        <f>G2/I2</f>
        <v>23.302469135802472</v>
      </c>
      <c r="K2" t="s">
        <v>367</v>
      </c>
    </row>
    <row r="3" spans="1:11">
      <c r="A3" s="8"/>
      <c r="B3" s="8" t="s">
        <v>6</v>
      </c>
      <c r="C3" s="7" t="s">
        <v>330</v>
      </c>
      <c r="D3" s="8"/>
      <c r="E3" s="8" t="s">
        <v>3</v>
      </c>
      <c r="F3" s="9" t="s">
        <v>7</v>
      </c>
      <c r="G3" s="10">
        <v>1570</v>
      </c>
      <c r="H3" s="10" t="s">
        <v>5</v>
      </c>
      <c r="I3" s="11">
        <v>64.8</v>
      </c>
      <c r="J3" s="12">
        <f>G3/I3</f>
        <v>24.228395061728396</v>
      </c>
    </row>
    <row r="4" spans="1:11">
      <c r="A4" s="8">
        <v>2516</v>
      </c>
      <c r="B4" s="8" t="s">
        <v>8</v>
      </c>
      <c r="C4" s="7" t="s">
        <v>330</v>
      </c>
      <c r="D4" s="8"/>
      <c r="E4" s="8" t="s">
        <v>9</v>
      </c>
      <c r="F4" s="9" t="s">
        <v>10</v>
      </c>
      <c r="G4" s="10">
        <v>1000</v>
      </c>
      <c r="H4" s="10" t="s">
        <v>5</v>
      </c>
      <c r="I4" s="11">
        <v>64.8</v>
      </c>
      <c r="J4" s="12">
        <f>G4/I4</f>
        <v>15.4320987654321</v>
      </c>
    </row>
    <row r="5" spans="1:11">
      <c r="A5" s="8" t="s">
        <v>11</v>
      </c>
      <c r="B5" s="8" t="s">
        <v>12</v>
      </c>
      <c r="C5" s="7" t="s">
        <v>330</v>
      </c>
      <c r="D5" s="8"/>
      <c r="E5" s="8" t="s">
        <v>13</v>
      </c>
      <c r="F5" s="9" t="s">
        <v>14</v>
      </c>
      <c r="G5" s="10">
        <v>13500</v>
      </c>
      <c r="H5" s="10" t="s">
        <v>5</v>
      </c>
      <c r="I5" s="11">
        <v>64.8</v>
      </c>
      <c r="J5" s="12">
        <f>G5/I5</f>
        <v>208.33333333333334</v>
      </c>
    </row>
    <row r="6" spans="1:11">
      <c r="A6" s="8">
        <v>1763</v>
      </c>
      <c r="B6" s="8" t="s">
        <v>15</v>
      </c>
      <c r="C6" s="7" t="s">
        <v>331</v>
      </c>
      <c r="D6" s="8"/>
      <c r="E6" s="8" t="s">
        <v>3</v>
      </c>
      <c r="F6" s="9" t="s">
        <v>16</v>
      </c>
      <c r="G6" s="10">
        <v>1760</v>
      </c>
      <c r="H6" s="10" t="s">
        <v>5</v>
      </c>
      <c r="I6" s="11">
        <v>64.8</v>
      </c>
      <c r="J6" s="12">
        <f>G6/I6</f>
        <v>27.160493827160494</v>
      </c>
    </row>
    <row r="7" spans="1:11">
      <c r="A7" s="8"/>
      <c r="B7" s="8" t="s">
        <v>17</v>
      </c>
      <c r="C7" s="7" t="s">
        <v>331</v>
      </c>
      <c r="D7" s="8"/>
      <c r="E7" s="8" t="s">
        <v>13</v>
      </c>
      <c r="F7" s="9" t="s">
        <v>18</v>
      </c>
      <c r="G7" s="10">
        <v>7500</v>
      </c>
      <c r="H7" s="10" t="s">
        <v>5</v>
      </c>
      <c r="I7" s="11">
        <v>64.8</v>
      </c>
      <c r="J7" s="12">
        <f>G7/I7</f>
        <v>115.74074074074075</v>
      </c>
    </row>
    <row r="8" spans="1:11">
      <c r="A8" s="8"/>
      <c r="B8" s="8" t="s">
        <v>19</v>
      </c>
      <c r="C8" s="7" t="s">
        <v>331</v>
      </c>
      <c r="D8" s="8"/>
      <c r="E8" s="8" t="s">
        <v>20</v>
      </c>
      <c r="F8" s="9" t="s">
        <v>21</v>
      </c>
      <c r="G8" s="10">
        <v>100</v>
      </c>
      <c r="H8" s="10" t="s">
        <v>5</v>
      </c>
      <c r="I8" s="11">
        <v>64.8</v>
      </c>
      <c r="J8" s="12">
        <f>G8/I8</f>
        <v>1.5432098765432098</v>
      </c>
    </row>
    <row r="9" spans="1:11">
      <c r="A9" s="8" t="s">
        <v>22</v>
      </c>
      <c r="B9" s="8" t="s">
        <v>23</v>
      </c>
      <c r="C9" s="7" t="s">
        <v>332</v>
      </c>
      <c r="D9" s="8"/>
      <c r="E9" s="8" t="s">
        <v>13</v>
      </c>
      <c r="F9" s="9" t="s">
        <v>24</v>
      </c>
      <c r="G9" s="10">
        <v>18560</v>
      </c>
      <c r="H9" s="10" t="s">
        <v>5</v>
      </c>
      <c r="I9" s="11">
        <v>64.8</v>
      </c>
      <c r="J9" s="12">
        <f>G9/I9</f>
        <v>286.41975308641975</v>
      </c>
    </row>
    <row r="10" spans="1:11">
      <c r="A10" s="8" t="s">
        <v>25</v>
      </c>
      <c r="B10" s="8" t="s">
        <v>26</v>
      </c>
      <c r="C10" s="7" t="s">
        <v>332</v>
      </c>
      <c r="D10" s="8"/>
      <c r="E10" s="8" t="s">
        <v>3</v>
      </c>
      <c r="F10" s="9" t="s">
        <v>27</v>
      </c>
      <c r="G10" s="13">
        <v>5790</v>
      </c>
      <c r="H10" s="10" t="s">
        <v>5</v>
      </c>
      <c r="I10" s="11">
        <v>64.8</v>
      </c>
      <c r="J10" s="12">
        <f>G10/I10</f>
        <v>89.351851851851862</v>
      </c>
    </row>
    <row r="11" spans="1:11">
      <c r="A11" s="8"/>
      <c r="B11" s="8" t="s">
        <v>28</v>
      </c>
      <c r="C11" s="7" t="s">
        <v>332</v>
      </c>
      <c r="D11" s="8"/>
      <c r="E11" s="8" t="s">
        <v>29</v>
      </c>
      <c r="F11" s="9" t="s">
        <v>30</v>
      </c>
      <c r="G11" s="14">
        <v>400</v>
      </c>
      <c r="H11" s="10" t="s">
        <v>5</v>
      </c>
      <c r="I11" s="11">
        <v>64.8</v>
      </c>
      <c r="J11" s="12">
        <f>G11/I11</f>
        <v>6.1728395061728394</v>
      </c>
    </row>
    <row r="12" spans="1:11">
      <c r="A12" s="8" t="s">
        <v>31</v>
      </c>
      <c r="B12" s="8" t="s">
        <v>32</v>
      </c>
      <c r="C12" s="7" t="s">
        <v>333</v>
      </c>
      <c r="D12" s="8"/>
      <c r="E12" s="8" t="s">
        <v>3</v>
      </c>
      <c r="F12" s="9" t="s">
        <v>33</v>
      </c>
      <c r="G12" s="14">
        <v>2850</v>
      </c>
      <c r="H12" s="10" t="s">
        <v>5</v>
      </c>
      <c r="I12" s="11">
        <v>64.8</v>
      </c>
      <c r="J12" s="12">
        <f>G12/I12</f>
        <v>43.981481481481481</v>
      </c>
    </row>
    <row r="13" spans="1:11">
      <c r="A13" s="8"/>
      <c r="B13" s="8" t="s">
        <v>34</v>
      </c>
      <c r="C13" s="7" t="s">
        <v>334</v>
      </c>
      <c r="D13" s="8"/>
      <c r="E13" s="8" t="s">
        <v>35</v>
      </c>
      <c r="F13" s="9" t="s">
        <v>36</v>
      </c>
      <c r="G13" s="14">
        <v>5498</v>
      </c>
      <c r="H13" s="10" t="s">
        <v>37</v>
      </c>
      <c r="I13" s="11">
        <v>1</v>
      </c>
      <c r="J13" s="12">
        <f>G13/I13</f>
        <v>5498</v>
      </c>
    </row>
    <row r="14" spans="1:11">
      <c r="A14" s="8" t="s">
        <v>38</v>
      </c>
      <c r="B14" s="8" t="s">
        <v>39</v>
      </c>
      <c r="C14" s="7" t="s">
        <v>334</v>
      </c>
      <c r="D14" s="8"/>
      <c r="E14" s="8" t="s">
        <v>3</v>
      </c>
      <c r="F14" s="9" t="s">
        <v>40</v>
      </c>
      <c r="G14" s="14">
        <v>12830</v>
      </c>
      <c r="H14" s="10" t="s">
        <v>5</v>
      </c>
      <c r="I14" s="11">
        <v>64.8</v>
      </c>
      <c r="J14" s="12">
        <f>G14/I14</f>
        <v>197.99382716049382</v>
      </c>
    </row>
    <row r="15" spans="1:11">
      <c r="A15" s="8">
        <v>14095</v>
      </c>
      <c r="B15" s="8" t="s">
        <v>41</v>
      </c>
      <c r="C15" s="7" t="s">
        <v>334</v>
      </c>
      <c r="D15" s="8"/>
      <c r="E15" s="8" t="s">
        <v>42</v>
      </c>
      <c r="F15" s="9" t="s">
        <v>43</v>
      </c>
      <c r="G15" s="14">
        <v>14480</v>
      </c>
      <c r="H15" s="10" t="s">
        <v>5</v>
      </c>
      <c r="I15" s="11">
        <v>64.8</v>
      </c>
      <c r="J15" s="12">
        <f>G15/I15</f>
        <v>223.45679012345681</v>
      </c>
    </row>
    <row r="16" spans="1:11">
      <c r="A16" s="8">
        <v>368</v>
      </c>
      <c r="B16" s="8" t="s">
        <v>44</v>
      </c>
      <c r="C16" s="7" t="s">
        <v>334</v>
      </c>
      <c r="D16" s="8"/>
      <c r="E16" s="8" t="s">
        <v>20</v>
      </c>
      <c r="F16" s="9" t="s">
        <v>45</v>
      </c>
      <c r="G16" s="14">
        <v>20030</v>
      </c>
      <c r="H16" s="10" t="s">
        <v>5</v>
      </c>
      <c r="I16" s="11">
        <v>64.8</v>
      </c>
      <c r="J16" s="12">
        <f>G16/I16</f>
        <v>309.10493827160496</v>
      </c>
    </row>
    <row r="17" spans="1:10">
      <c r="A17" s="8"/>
      <c r="B17" s="8" t="s">
        <v>46</v>
      </c>
      <c r="C17" s="7" t="s">
        <v>334</v>
      </c>
      <c r="D17" s="8"/>
      <c r="E17" s="8" t="s">
        <v>13</v>
      </c>
      <c r="F17" s="9" t="s">
        <v>47</v>
      </c>
      <c r="G17" s="14">
        <v>500</v>
      </c>
      <c r="H17" s="10" t="s">
        <v>5</v>
      </c>
      <c r="I17" s="11">
        <v>64.8</v>
      </c>
      <c r="J17" s="12">
        <f>G17/I17</f>
        <v>7.7160493827160499</v>
      </c>
    </row>
    <row r="18" spans="1:10">
      <c r="A18" s="8">
        <v>2532</v>
      </c>
      <c r="B18" s="8" t="s">
        <v>48</v>
      </c>
      <c r="C18" s="7" t="s">
        <v>335</v>
      </c>
      <c r="D18" s="8"/>
      <c r="E18" s="8" t="s">
        <v>9</v>
      </c>
      <c r="F18" s="9" t="s">
        <v>49</v>
      </c>
      <c r="G18" s="14">
        <v>1000</v>
      </c>
      <c r="H18" s="10" t="s">
        <v>5</v>
      </c>
      <c r="I18" s="11">
        <v>64.8</v>
      </c>
      <c r="J18" s="12">
        <f>G18/I18</f>
        <v>15.4320987654321</v>
      </c>
    </row>
    <row r="19" spans="1:10">
      <c r="A19" s="8" t="s">
        <v>50</v>
      </c>
      <c r="B19" s="8" t="s">
        <v>51</v>
      </c>
      <c r="C19" s="7" t="s">
        <v>335</v>
      </c>
      <c r="D19" s="8"/>
      <c r="E19" s="8" t="s">
        <v>13</v>
      </c>
      <c r="F19" s="9" t="s">
        <v>52</v>
      </c>
      <c r="G19" s="14">
        <v>40250</v>
      </c>
      <c r="H19" s="10" t="s">
        <v>5</v>
      </c>
      <c r="I19" s="11">
        <v>64.8</v>
      </c>
      <c r="J19" s="12">
        <f>G19/I19</f>
        <v>621.14197530864203</v>
      </c>
    </row>
    <row r="20" spans="1:10">
      <c r="A20" s="8" t="s">
        <v>53</v>
      </c>
      <c r="B20" s="8" t="s">
        <v>54</v>
      </c>
      <c r="C20" s="7" t="s">
        <v>335</v>
      </c>
      <c r="D20" s="8"/>
      <c r="E20" s="8" t="s">
        <v>3</v>
      </c>
      <c r="F20" s="9" t="s">
        <v>55</v>
      </c>
      <c r="G20" s="14">
        <v>2125</v>
      </c>
      <c r="H20" s="10" t="s">
        <v>5</v>
      </c>
      <c r="I20" s="11">
        <v>64.8</v>
      </c>
      <c r="J20" s="12">
        <f>G20/I20</f>
        <v>32.793209876543209</v>
      </c>
    </row>
    <row r="21" spans="1:10">
      <c r="A21" s="8"/>
      <c r="B21" s="8" t="s">
        <v>56</v>
      </c>
      <c r="C21" s="7" t="s">
        <v>335</v>
      </c>
      <c r="D21" s="8"/>
      <c r="E21" s="8" t="s">
        <v>29</v>
      </c>
      <c r="F21" s="9" t="s">
        <v>57</v>
      </c>
      <c r="G21" s="14">
        <v>200</v>
      </c>
      <c r="H21" s="10" t="s">
        <v>5</v>
      </c>
      <c r="I21" s="11">
        <v>64.8</v>
      </c>
      <c r="J21" s="12">
        <f>G21/I21</f>
        <v>3.0864197530864197</v>
      </c>
    </row>
    <row r="22" spans="1:10">
      <c r="A22" s="8"/>
      <c r="B22" s="8" t="s">
        <v>58</v>
      </c>
      <c r="C22" s="7" t="s">
        <v>335</v>
      </c>
      <c r="D22" s="8"/>
      <c r="E22" s="8" t="s">
        <v>3</v>
      </c>
      <c r="F22" s="9" t="s">
        <v>59</v>
      </c>
      <c r="G22" s="14">
        <v>500</v>
      </c>
      <c r="H22" s="10" t="s">
        <v>5</v>
      </c>
      <c r="I22" s="11">
        <v>64.8</v>
      </c>
      <c r="J22" s="12">
        <f>G22/I22</f>
        <v>7.7160493827160499</v>
      </c>
    </row>
    <row r="23" spans="1:10">
      <c r="A23" s="8" t="s">
        <v>60</v>
      </c>
      <c r="B23" s="8" t="s">
        <v>61</v>
      </c>
      <c r="C23" s="7" t="s">
        <v>336</v>
      </c>
      <c r="D23" s="8"/>
      <c r="E23" s="8" t="s">
        <v>3</v>
      </c>
      <c r="F23" s="9" t="s">
        <v>62</v>
      </c>
      <c r="G23" s="14">
        <v>2000</v>
      </c>
      <c r="H23" s="10" t="s">
        <v>5</v>
      </c>
      <c r="I23" s="11">
        <v>64.8</v>
      </c>
      <c r="J23" s="12">
        <f>G23/I23</f>
        <v>30.8641975308642</v>
      </c>
    </row>
    <row r="24" spans="1:10">
      <c r="A24" s="8"/>
      <c r="B24" s="15" t="s">
        <v>63</v>
      </c>
      <c r="C24" s="7" t="s">
        <v>336</v>
      </c>
      <c r="D24" s="15"/>
      <c r="E24" s="8" t="s">
        <v>64</v>
      </c>
      <c r="F24" s="9" t="s">
        <v>65</v>
      </c>
      <c r="G24" s="14">
        <v>300</v>
      </c>
      <c r="H24" s="10" t="s">
        <v>5</v>
      </c>
      <c r="I24" s="11">
        <v>64.8</v>
      </c>
      <c r="J24" s="12">
        <f>G24/I24</f>
        <v>4.6296296296296298</v>
      </c>
    </row>
    <row r="25" spans="1:10">
      <c r="A25" s="8" t="s">
        <v>66</v>
      </c>
      <c r="B25" s="8" t="s">
        <v>67</v>
      </c>
      <c r="C25" s="7" t="s">
        <v>336</v>
      </c>
      <c r="D25" s="8"/>
      <c r="E25" s="8" t="s">
        <v>13</v>
      </c>
      <c r="F25" s="9" t="s">
        <v>68</v>
      </c>
      <c r="G25" s="14">
        <v>4760</v>
      </c>
      <c r="H25" s="10" t="s">
        <v>5</v>
      </c>
      <c r="I25" s="11">
        <v>64.8</v>
      </c>
      <c r="J25" s="12">
        <f>G25/I25</f>
        <v>73.456790123456798</v>
      </c>
    </row>
    <row r="26" spans="1:10">
      <c r="A26" s="8" t="s">
        <v>69</v>
      </c>
      <c r="B26" s="8" t="s">
        <v>70</v>
      </c>
      <c r="C26" s="7" t="s">
        <v>336</v>
      </c>
      <c r="D26" s="8"/>
      <c r="E26" s="8" t="s">
        <v>13</v>
      </c>
      <c r="F26" s="9" t="s">
        <v>71</v>
      </c>
      <c r="G26" s="14">
        <v>6830</v>
      </c>
      <c r="H26" s="10" t="s">
        <v>5</v>
      </c>
      <c r="I26" s="11">
        <v>64.8</v>
      </c>
      <c r="J26" s="12">
        <f>G26/I26</f>
        <v>105.40123456790124</v>
      </c>
    </row>
    <row r="27" spans="1:10">
      <c r="A27" s="8"/>
      <c r="B27" s="8" t="s">
        <v>72</v>
      </c>
      <c r="C27" s="7" t="s">
        <v>336</v>
      </c>
      <c r="D27" s="8"/>
      <c r="E27" s="8" t="s">
        <v>3</v>
      </c>
      <c r="F27" s="9" t="s">
        <v>73</v>
      </c>
      <c r="G27" s="14">
        <v>1000</v>
      </c>
      <c r="H27" s="10" t="s">
        <v>5</v>
      </c>
      <c r="I27" s="11">
        <v>64.8</v>
      </c>
      <c r="J27" s="12">
        <f>G27/I27</f>
        <v>15.4320987654321</v>
      </c>
    </row>
    <row r="28" spans="1:10">
      <c r="A28" s="8">
        <v>1784</v>
      </c>
      <c r="B28" s="8" t="s">
        <v>74</v>
      </c>
      <c r="C28" s="7" t="s">
        <v>337</v>
      </c>
      <c r="D28" s="8"/>
      <c r="E28" s="8" t="s">
        <v>3</v>
      </c>
      <c r="F28" s="9" t="s">
        <v>4</v>
      </c>
      <c r="G28" s="14">
        <v>1470</v>
      </c>
      <c r="H28" s="10" t="s">
        <v>5</v>
      </c>
      <c r="I28" s="11">
        <v>64.8</v>
      </c>
      <c r="J28" s="12">
        <f>G28/I28</f>
        <v>22.685185185185187</v>
      </c>
    </row>
    <row r="29" spans="1:10">
      <c r="A29" s="8"/>
      <c r="B29" s="8" t="s">
        <v>75</v>
      </c>
      <c r="C29" s="7" t="s">
        <v>337</v>
      </c>
      <c r="D29" s="8"/>
      <c r="E29" s="8" t="s">
        <v>29</v>
      </c>
      <c r="F29" s="9" t="s">
        <v>76</v>
      </c>
      <c r="G29" s="14">
        <v>620</v>
      </c>
      <c r="H29" s="10" t="s">
        <v>5</v>
      </c>
      <c r="I29" s="11">
        <v>64.8</v>
      </c>
      <c r="J29" s="12">
        <f>G29/I29</f>
        <v>9.567901234567902</v>
      </c>
    </row>
    <row r="30" spans="1:10">
      <c r="A30" s="8">
        <v>275</v>
      </c>
      <c r="B30" s="8" t="s">
        <v>77</v>
      </c>
      <c r="C30" s="7" t="s">
        <v>338</v>
      </c>
      <c r="D30" s="8"/>
      <c r="E30" s="8" t="s">
        <v>3</v>
      </c>
      <c r="F30" s="9" t="s">
        <v>78</v>
      </c>
      <c r="G30" s="14">
        <v>2130</v>
      </c>
      <c r="H30" s="10" t="s">
        <v>5</v>
      </c>
      <c r="I30" s="11">
        <v>64.8</v>
      </c>
      <c r="J30" s="12">
        <f>G30/I30</f>
        <v>32.870370370370374</v>
      </c>
    </row>
    <row r="31" spans="1:10">
      <c r="A31" s="8"/>
      <c r="B31" s="8" t="s">
        <v>79</v>
      </c>
      <c r="C31" s="7" t="s">
        <v>338</v>
      </c>
      <c r="D31" s="8"/>
      <c r="E31" s="8" t="s">
        <v>13</v>
      </c>
      <c r="F31" s="9" t="s">
        <v>80</v>
      </c>
      <c r="G31" s="14">
        <v>2500</v>
      </c>
      <c r="H31" s="10" t="s">
        <v>5</v>
      </c>
      <c r="I31" s="11">
        <v>64.8</v>
      </c>
      <c r="J31" s="12">
        <f>G31/I31</f>
        <v>38.580246913580247</v>
      </c>
    </row>
    <row r="32" spans="1:10">
      <c r="A32" s="8">
        <v>9850</v>
      </c>
      <c r="B32" s="8" t="s">
        <v>81</v>
      </c>
      <c r="C32" s="7" t="s">
        <v>339</v>
      </c>
      <c r="D32" s="8"/>
      <c r="E32" s="8" t="s">
        <v>42</v>
      </c>
      <c r="F32" s="9" t="s">
        <v>82</v>
      </c>
      <c r="G32" s="14">
        <v>23940</v>
      </c>
      <c r="H32" s="10" t="s">
        <v>5</v>
      </c>
      <c r="I32" s="11">
        <v>64.8</v>
      </c>
      <c r="J32" s="12">
        <f>G32/I32</f>
        <v>369.44444444444446</v>
      </c>
    </row>
    <row r="33" spans="1:10">
      <c r="A33" s="8"/>
      <c r="B33" s="8" t="s">
        <v>83</v>
      </c>
      <c r="C33" s="7" t="s">
        <v>339</v>
      </c>
      <c r="D33" s="8"/>
      <c r="E33" s="8" t="s">
        <v>9</v>
      </c>
      <c r="F33" s="9" t="s">
        <v>84</v>
      </c>
      <c r="G33" s="14">
        <v>1000</v>
      </c>
      <c r="H33" s="10" t="s">
        <v>5</v>
      </c>
      <c r="I33" s="11">
        <v>64.8</v>
      </c>
      <c r="J33" s="12">
        <f>G33/I33</f>
        <v>15.4320987654321</v>
      </c>
    </row>
    <row r="34" spans="1:10">
      <c r="A34" s="8">
        <v>889</v>
      </c>
      <c r="B34" s="8" t="s">
        <v>85</v>
      </c>
      <c r="C34" s="7" t="s">
        <v>339</v>
      </c>
      <c r="D34" s="8"/>
      <c r="E34" s="8" t="s">
        <v>42</v>
      </c>
      <c r="F34" s="9" t="s">
        <v>86</v>
      </c>
      <c r="G34" s="14">
        <v>9350</v>
      </c>
      <c r="H34" s="10" t="s">
        <v>5</v>
      </c>
      <c r="I34" s="11">
        <v>64.8</v>
      </c>
      <c r="J34" s="12">
        <f>G34/I34</f>
        <v>144.29012345679013</v>
      </c>
    </row>
    <row r="35" spans="1:10">
      <c r="A35" s="8">
        <v>4</v>
      </c>
      <c r="B35" s="8" t="s">
        <v>87</v>
      </c>
      <c r="C35" s="7" t="s">
        <v>339</v>
      </c>
      <c r="D35" s="8"/>
      <c r="E35" s="8" t="s">
        <v>13</v>
      </c>
      <c r="F35" s="9" t="s">
        <v>88</v>
      </c>
      <c r="G35" s="14">
        <v>3900</v>
      </c>
      <c r="H35" s="10" t="s">
        <v>5</v>
      </c>
      <c r="I35" s="11">
        <v>64.8</v>
      </c>
      <c r="J35" s="12">
        <f>G35/I35</f>
        <v>60.18518518518519</v>
      </c>
    </row>
    <row r="36" spans="1:10">
      <c r="A36" s="8">
        <v>531</v>
      </c>
      <c r="B36" s="16" t="s">
        <v>89</v>
      </c>
      <c r="C36" s="7" t="s">
        <v>339</v>
      </c>
      <c r="D36" s="16"/>
      <c r="E36" s="8" t="s">
        <v>64</v>
      </c>
      <c r="F36" s="9" t="s">
        <v>90</v>
      </c>
      <c r="G36" s="14">
        <v>7400</v>
      </c>
      <c r="H36" s="10" t="s">
        <v>5</v>
      </c>
      <c r="I36" s="11">
        <v>64.8</v>
      </c>
      <c r="J36" s="12">
        <f>G36/I36</f>
        <v>114.19753086419753</v>
      </c>
    </row>
    <row r="37" spans="1:10">
      <c r="A37" s="8"/>
      <c r="B37" s="16" t="s">
        <v>91</v>
      </c>
      <c r="C37" s="7" t="s">
        <v>339</v>
      </c>
      <c r="D37" s="16"/>
      <c r="E37" s="8" t="s">
        <v>92</v>
      </c>
      <c r="F37" s="9" t="s">
        <v>93</v>
      </c>
      <c r="G37" s="14">
        <v>1200</v>
      </c>
      <c r="H37" s="10" t="s">
        <v>5</v>
      </c>
      <c r="I37" s="11">
        <v>64.8</v>
      </c>
      <c r="J37" s="12">
        <f>G37/I37</f>
        <v>18.518518518518519</v>
      </c>
    </row>
    <row r="38" spans="1:10">
      <c r="A38" s="8"/>
      <c r="B38" s="16" t="s">
        <v>94</v>
      </c>
      <c r="C38" s="7" t="s">
        <v>339</v>
      </c>
      <c r="D38" s="16"/>
      <c r="E38" s="8" t="s">
        <v>29</v>
      </c>
      <c r="F38" s="9" t="s">
        <v>95</v>
      </c>
      <c r="G38" s="14">
        <v>530</v>
      </c>
      <c r="H38" s="10" t="s">
        <v>5</v>
      </c>
      <c r="I38" s="11">
        <v>64.8</v>
      </c>
      <c r="J38" s="12">
        <f>G38/I38</f>
        <v>8.1790123456790127</v>
      </c>
    </row>
    <row r="39" spans="1:10">
      <c r="A39" s="8" t="s">
        <v>96</v>
      </c>
      <c r="B39" s="16" t="s">
        <v>97</v>
      </c>
      <c r="C39" s="7" t="s">
        <v>339</v>
      </c>
      <c r="D39" s="16"/>
      <c r="E39" s="8" t="s">
        <v>3</v>
      </c>
      <c r="F39" s="9" t="s">
        <v>98</v>
      </c>
      <c r="G39" s="14">
        <v>5480</v>
      </c>
      <c r="H39" s="10" t="s">
        <v>5</v>
      </c>
      <c r="I39" s="11">
        <v>64.8</v>
      </c>
      <c r="J39" s="12">
        <f>G39/I39</f>
        <v>84.567901234567898</v>
      </c>
    </row>
    <row r="40" spans="1:10">
      <c r="A40" s="8"/>
      <c r="B40" s="16" t="s">
        <v>99</v>
      </c>
      <c r="C40" s="7" t="s">
        <v>339</v>
      </c>
      <c r="D40" s="16"/>
      <c r="E40" s="8" t="s">
        <v>35</v>
      </c>
      <c r="F40" s="9" t="s">
        <v>100</v>
      </c>
      <c r="G40" s="14">
        <v>5000</v>
      </c>
      <c r="H40" s="10" t="s">
        <v>5</v>
      </c>
      <c r="I40" s="11">
        <v>64.8</v>
      </c>
      <c r="J40" s="12">
        <f>G40/I40</f>
        <v>77.160493827160494</v>
      </c>
    </row>
    <row r="41" spans="1:10">
      <c r="A41" s="8"/>
      <c r="B41" s="16" t="s">
        <v>101</v>
      </c>
      <c r="C41" s="7" t="s">
        <v>339</v>
      </c>
      <c r="D41" s="16"/>
      <c r="E41" s="8" t="s">
        <v>3</v>
      </c>
      <c r="F41" s="9" t="s">
        <v>102</v>
      </c>
      <c r="G41" s="14">
        <v>1000</v>
      </c>
      <c r="H41" s="10" t="s">
        <v>5</v>
      </c>
      <c r="I41" s="11">
        <v>64.8</v>
      </c>
      <c r="J41" s="12">
        <f>G41/I41</f>
        <v>15.4320987654321</v>
      </c>
    </row>
    <row r="42" spans="1:10">
      <c r="A42" s="8">
        <v>1842</v>
      </c>
      <c r="B42" s="16" t="s">
        <v>103</v>
      </c>
      <c r="C42" s="7" t="s">
        <v>339</v>
      </c>
      <c r="D42" s="16"/>
      <c r="E42" s="8" t="s">
        <v>13</v>
      </c>
      <c r="F42" s="9" t="s">
        <v>104</v>
      </c>
      <c r="G42" s="14">
        <v>600</v>
      </c>
      <c r="H42" s="10" t="s">
        <v>5</v>
      </c>
      <c r="I42" s="11">
        <v>64.8</v>
      </c>
      <c r="J42" s="12">
        <f>G42/I42</f>
        <v>9.2592592592592595</v>
      </c>
    </row>
    <row r="43" spans="1:10">
      <c r="A43" s="8"/>
      <c r="B43" s="16" t="s">
        <v>105</v>
      </c>
      <c r="C43" s="7" t="s">
        <v>339</v>
      </c>
      <c r="D43" s="16"/>
      <c r="E43" s="8" t="s">
        <v>64</v>
      </c>
      <c r="F43" s="9" t="s">
        <v>106</v>
      </c>
      <c r="G43" s="14">
        <v>32000</v>
      </c>
      <c r="H43" s="10" t="s">
        <v>5</v>
      </c>
      <c r="I43" s="11">
        <v>64.8</v>
      </c>
      <c r="J43" s="12">
        <f>G43/I43</f>
        <v>493.82716049382719</v>
      </c>
    </row>
    <row r="44" spans="1:10">
      <c r="A44" s="8">
        <v>150</v>
      </c>
      <c r="B44" s="16" t="s">
        <v>107</v>
      </c>
      <c r="C44" s="7" t="s">
        <v>339</v>
      </c>
      <c r="D44" s="16"/>
      <c r="E44" s="8" t="s">
        <v>64</v>
      </c>
      <c r="F44" s="9" t="s">
        <v>108</v>
      </c>
      <c r="G44" s="14">
        <v>220</v>
      </c>
      <c r="H44" s="10" t="s">
        <v>5</v>
      </c>
      <c r="I44" s="11">
        <v>64.8</v>
      </c>
      <c r="J44" s="12">
        <f>G44/I44</f>
        <v>3.3950617283950617</v>
      </c>
    </row>
    <row r="45" spans="1:10">
      <c r="A45" s="8"/>
      <c r="B45" s="16" t="s">
        <v>109</v>
      </c>
      <c r="C45" s="7" t="s">
        <v>340</v>
      </c>
      <c r="D45" s="16"/>
      <c r="E45" s="8" t="s">
        <v>92</v>
      </c>
      <c r="F45" s="9" t="s">
        <v>110</v>
      </c>
      <c r="G45" s="14">
        <v>300</v>
      </c>
      <c r="H45" s="10" t="s">
        <v>5</v>
      </c>
      <c r="I45" s="11">
        <v>64.8</v>
      </c>
      <c r="J45" s="12">
        <f>G45/I45</f>
        <v>4.6296296296296298</v>
      </c>
    </row>
    <row r="46" spans="1:10">
      <c r="A46" s="8"/>
      <c r="B46" s="16" t="s">
        <v>111</v>
      </c>
      <c r="C46" s="7" t="s">
        <v>340</v>
      </c>
      <c r="D46" s="16"/>
      <c r="E46" s="8" t="s">
        <v>3</v>
      </c>
      <c r="F46" s="9" t="s">
        <v>112</v>
      </c>
      <c r="G46" s="14">
        <v>1000</v>
      </c>
      <c r="H46" s="10" t="s">
        <v>5</v>
      </c>
      <c r="I46" s="11">
        <v>64.8</v>
      </c>
      <c r="J46" s="12">
        <f>G46/I46</f>
        <v>15.4320987654321</v>
      </c>
    </row>
    <row r="47" spans="1:10">
      <c r="A47" s="8">
        <v>223</v>
      </c>
      <c r="B47" s="16" t="s">
        <v>113</v>
      </c>
      <c r="C47" s="7" t="s">
        <v>340</v>
      </c>
      <c r="D47" s="16"/>
      <c r="E47" s="8" t="s">
        <v>20</v>
      </c>
      <c r="F47" s="9" t="s">
        <v>114</v>
      </c>
      <c r="G47" s="14">
        <v>50</v>
      </c>
      <c r="H47" s="10" t="s">
        <v>5</v>
      </c>
      <c r="I47" s="11">
        <v>64.8</v>
      </c>
      <c r="J47" s="12">
        <f>G47/I47</f>
        <v>0.77160493827160492</v>
      </c>
    </row>
    <row r="48" spans="1:10">
      <c r="A48" s="8">
        <v>282</v>
      </c>
      <c r="B48" s="16" t="s">
        <v>115</v>
      </c>
      <c r="C48" s="7" t="s">
        <v>339</v>
      </c>
      <c r="D48" s="16"/>
      <c r="E48" s="8" t="s">
        <v>3</v>
      </c>
      <c r="F48" s="9" t="s">
        <v>116</v>
      </c>
      <c r="G48" s="14">
        <v>670</v>
      </c>
      <c r="H48" s="10" t="s">
        <v>5</v>
      </c>
      <c r="I48" s="11">
        <v>64.8</v>
      </c>
      <c r="J48" s="12">
        <f>G48/I48</f>
        <v>10.339506172839506</v>
      </c>
    </row>
    <row r="49" spans="1:10">
      <c r="A49" s="8" t="s">
        <v>117</v>
      </c>
      <c r="B49" s="16" t="s">
        <v>118</v>
      </c>
      <c r="C49" s="7" t="s">
        <v>341</v>
      </c>
      <c r="D49" s="16"/>
      <c r="E49" s="8" t="s">
        <v>3</v>
      </c>
      <c r="F49" s="9" t="s">
        <v>119</v>
      </c>
      <c r="G49" s="14">
        <v>2500</v>
      </c>
      <c r="H49" s="10" t="s">
        <v>5</v>
      </c>
      <c r="I49" s="11">
        <v>64.8</v>
      </c>
      <c r="J49" s="12">
        <f>G49/I49</f>
        <v>38.580246913580247</v>
      </c>
    </row>
    <row r="50" spans="1:10">
      <c r="A50" s="8"/>
      <c r="B50" s="16" t="s">
        <v>120</v>
      </c>
      <c r="C50" s="7" t="s">
        <v>341</v>
      </c>
      <c r="D50" s="16"/>
      <c r="E50" s="8" t="s">
        <v>92</v>
      </c>
      <c r="F50" s="9" t="s">
        <v>121</v>
      </c>
      <c r="G50" s="14">
        <v>700</v>
      </c>
      <c r="H50" s="10" t="s">
        <v>5</v>
      </c>
      <c r="I50" s="11">
        <v>64.8</v>
      </c>
      <c r="J50" s="12">
        <f>G50/I50</f>
        <v>10.80246913580247</v>
      </c>
    </row>
    <row r="51" spans="1:10">
      <c r="A51" s="8">
        <v>17385</v>
      </c>
      <c r="B51" s="16" t="s">
        <v>122</v>
      </c>
      <c r="C51" s="7" t="s">
        <v>341</v>
      </c>
      <c r="D51" s="16"/>
      <c r="E51" s="8" t="s">
        <v>42</v>
      </c>
      <c r="F51" s="9" t="s">
        <v>123</v>
      </c>
      <c r="G51" s="14">
        <v>500</v>
      </c>
      <c r="H51" s="10" t="s">
        <v>5</v>
      </c>
      <c r="I51" s="11">
        <v>64.8</v>
      </c>
      <c r="J51" s="12">
        <f>G51/I51</f>
        <v>7.7160493827160499</v>
      </c>
    </row>
    <row r="52" spans="1:10">
      <c r="A52" s="8" t="s">
        <v>124</v>
      </c>
      <c r="B52" s="16" t="s">
        <v>125</v>
      </c>
      <c r="C52" s="7" t="s">
        <v>341</v>
      </c>
      <c r="D52" s="16"/>
      <c r="E52" s="8" t="s">
        <v>13</v>
      </c>
      <c r="F52" s="9" t="s">
        <v>126</v>
      </c>
      <c r="G52" s="14">
        <v>8500</v>
      </c>
      <c r="H52" s="10" t="s">
        <v>5</v>
      </c>
      <c r="I52" s="11">
        <v>64.8</v>
      </c>
      <c r="J52" s="12">
        <f>G52/I52</f>
        <v>131.17283950617283</v>
      </c>
    </row>
    <row r="53" spans="1:10">
      <c r="A53" s="8">
        <v>98</v>
      </c>
      <c r="B53" s="16" t="s">
        <v>127</v>
      </c>
      <c r="C53" s="7" t="s">
        <v>340</v>
      </c>
      <c r="D53" s="16"/>
      <c r="E53" s="8" t="s">
        <v>13</v>
      </c>
      <c r="F53" s="9" t="s">
        <v>128</v>
      </c>
      <c r="G53" s="17">
        <v>1380</v>
      </c>
      <c r="H53" s="10" t="s">
        <v>5</v>
      </c>
      <c r="I53" s="11">
        <v>64.8</v>
      </c>
      <c r="J53" s="12">
        <f>G53/I53</f>
        <v>21.296296296296298</v>
      </c>
    </row>
    <row r="54" spans="1:10">
      <c r="A54" s="8" t="s">
        <v>129</v>
      </c>
      <c r="B54" s="16" t="s">
        <v>130</v>
      </c>
      <c r="C54" s="7" t="s">
        <v>340</v>
      </c>
      <c r="D54" s="16"/>
      <c r="E54" s="8" t="s">
        <v>3</v>
      </c>
      <c r="F54" s="9" t="s">
        <v>131</v>
      </c>
      <c r="G54" s="17">
        <v>3030</v>
      </c>
      <c r="H54" s="10" t="s">
        <v>5</v>
      </c>
      <c r="I54" s="11">
        <v>64.8</v>
      </c>
      <c r="J54" s="12">
        <f>G54/I54</f>
        <v>46.75925925925926</v>
      </c>
    </row>
    <row r="55" spans="1:10">
      <c r="A55" s="8" t="s">
        <v>132</v>
      </c>
      <c r="B55" s="16" t="s">
        <v>133</v>
      </c>
      <c r="C55" s="7" t="s">
        <v>340</v>
      </c>
      <c r="D55" s="16"/>
      <c r="E55" s="8" t="s">
        <v>3</v>
      </c>
      <c r="F55" s="18" t="s">
        <v>134</v>
      </c>
      <c r="G55" s="19">
        <v>18970</v>
      </c>
      <c r="H55" s="10" t="s">
        <v>5</v>
      </c>
      <c r="I55" s="11">
        <v>64.8</v>
      </c>
      <c r="J55" s="12">
        <f>G55/I55</f>
        <v>292.74691358024694</v>
      </c>
    </row>
    <row r="56" spans="1:10">
      <c r="A56" s="8"/>
      <c r="B56" s="16" t="s">
        <v>135</v>
      </c>
      <c r="C56" s="7" t="s">
        <v>340</v>
      </c>
      <c r="D56" s="16"/>
      <c r="E56" s="8" t="s">
        <v>136</v>
      </c>
      <c r="F56" s="9" t="s">
        <v>137</v>
      </c>
      <c r="G56" s="17">
        <v>1450</v>
      </c>
      <c r="H56" s="10" t="s">
        <v>5</v>
      </c>
      <c r="I56" s="11">
        <v>64.8</v>
      </c>
      <c r="J56" s="12">
        <f>G56/I56</f>
        <v>22.376543209876544</v>
      </c>
    </row>
    <row r="57" spans="1:10">
      <c r="A57" s="8">
        <v>1720</v>
      </c>
      <c r="B57" s="16" t="s">
        <v>138</v>
      </c>
      <c r="C57" s="7" t="s">
        <v>342</v>
      </c>
      <c r="D57" s="16"/>
      <c r="E57" s="8" t="s">
        <v>3</v>
      </c>
      <c r="F57" s="9" t="s">
        <v>4</v>
      </c>
      <c r="G57" s="17">
        <v>1760</v>
      </c>
      <c r="H57" s="10" t="s">
        <v>5</v>
      </c>
      <c r="I57" s="11">
        <v>64.8</v>
      </c>
      <c r="J57" s="12">
        <f>G57/I57</f>
        <v>27.160493827160494</v>
      </c>
    </row>
    <row r="58" spans="1:10">
      <c r="A58" s="8" t="s">
        <v>139</v>
      </c>
      <c r="B58" s="16" t="s">
        <v>140</v>
      </c>
      <c r="C58" s="7" t="s">
        <v>342</v>
      </c>
      <c r="D58" s="16"/>
      <c r="E58" s="8" t="s">
        <v>20</v>
      </c>
      <c r="F58" s="9" t="s">
        <v>141</v>
      </c>
      <c r="G58" s="17">
        <v>5310</v>
      </c>
      <c r="H58" s="10" t="s">
        <v>5</v>
      </c>
      <c r="I58" s="11">
        <v>64.8</v>
      </c>
      <c r="J58" s="12">
        <f>G58/I58</f>
        <v>81.944444444444443</v>
      </c>
    </row>
    <row r="59" spans="1:10">
      <c r="A59" s="8"/>
      <c r="B59" s="16" t="s">
        <v>142</v>
      </c>
      <c r="C59" s="7" t="s">
        <v>342</v>
      </c>
      <c r="D59" s="16"/>
      <c r="E59" s="8" t="s">
        <v>20</v>
      </c>
      <c r="F59" s="9" t="s">
        <v>143</v>
      </c>
      <c r="G59" s="17">
        <v>1200</v>
      </c>
      <c r="H59" s="10" t="s">
        <v>5</v>
      </c>
      <c r="I59" s="11">
        <v>64.8</v>
      </c>
      <c r="J59" s="12">
        <f>G59/I59</f>
        <v>18.518518518518519</v>
      </c>
    </row>
    <row r="60" spans="1:10">
      <c r="A60" s="8"/>
      <c r="B60" s="16" t="s">
        <v>144</v>
      </c>
      <c r="C60" s="7" t="s">
        <v>342</v>
      </c>
      <c r="D60" s="16"/>
      <c r="E60" s="8" t="s">
        <v>64</v>
      </c>
      <c r="F60" s="9" t="s">
        <v>145</v>
      </c>
      <c r="G60" s="17">
        <v>70</v>
      </c>
      <c r="H60" s="10" t="s">
        <v>5</v>
      </c>
      <c r="I60" s="11">
        <v>64.8</v>
      </c>
      <c r="J60" s="12">
        <f>G60/I60</f>
        <v>1.080246913580247</v>
      </c>
    </row>
    <row r="61" spans="1:10">
      <c r="A61" s="8"/>
      <c r="B61" s="16" t="s">
        <v>146</v>
      </c>
      <c r="C61" s="7" t="s">
        <v>342</v>
      </c>
      <c r="D61" s="16"/>
      <c r="E61" s="8" t="s">
        <v>3</v>
      </c>
      <c r="F61" s="9" t="s">
        <v>147</v>
      </c>
      <c r="G61" s="17">
        <v>10100</v>
      </c>
      <c r="H61" s="10" t="s">
        <v>5</v>
      </c>
      <c r="I61" s="11">
        <v>64.8</v>
      </c>
      <c r="J61" s="12">
        <f>G61/I61</f>
        <v>155.8641975308642</v>
      </c>
    </row>
    <row r="62" spans="1:10">
      <c r="A62" s="8"/>
      <c r="B62" s="16" t="s">
        <v>148</v>
      </c>
      <c r="C62" s="7" t="s">
        <v>342</v>
      </c>
      <c r="D62" s="16"/>
      <c r="E62" s="8" t="s">
        <v>13</v>
      </c>
      <c r="F62" s="9" t="s">
        <v>149</v>
      </c>
      <c r="G62" s="14">
        <v>1397</v>
      </c>
      <c r="H62" s="10" t="s">
        <v>37</v>
      </c>
      <c r="I62" s="11">
        <v>1</v>
      </c>
      <c r="J62" s="12">
        <f>G62/I62</f>
        <v>1397</v>
      </c>
    </row>
    <row r="63" spans="1:10">
      <c r="A63" s="8"/>
      <c r="B63" s="16" t="s">
        <v>150</v>
      </c>
      <c r="C63" s="7" t="s">
        <v>343</v>
      </c>
      <c r="D63" s="16"/>
      <c r="E63" s="8" t="s">
        <v>13</v>
      </c>
      <c r="F63" s="9" t="s">
        <v>151</v>
      </c>
      <c r="G63" s="14">
        <v>9200</v>
      </c>
      <c r="H63" s="10" t="s">
        <v>5</v>
      </c>
      <c r="I63" s="11">
        <v>64.8</v>
      </c>
      <c r="J63" s="12">
        <f>G63/I63</f>
        <v>141.97530864197532</v>
      </c>
    </row>
    <row r="64" spans="1:10">
      <c r="A64" s="8" t="s">
        <v>152</v>
      </c>
      <c r="B64" s="20" t="s">
        <v>153</v>
      </c>
      <c r="C64" s="7" t="s">
        <v>343</v>
      </c>
      <c r="D64" s="20"/>
      <c r="E64" s="8" t="s">
        <v>3</v>
      </c>
      <c r="F64" s="9" t="s">
        <v>154</v>
      </c>
      <c r="G64" s="14">
        <v>2180</v>
      </c>
      <c r="H64" s="10" t="s">
        <v>5</v>
      </c>
      <c r="I64" s="11">
        <v>64.8</v>
      </c>
      <c r="J64" s="12">
        <f>G64/I64</f>
        <v>33.641975308641975</v>
      </c>
    </row>
    <row r="65" spans="1:10">
      <c r="A65" s="8" t="s">
        <v>155</v>
      </c>
      <c r="B65" s="16" t="s">
        <v>156</v>
      </c>
      <c r="C65" s="7" t="s">
        <v>343</v>
      </c>
      <c r="D65" s="16"/>
      <c r="E65" s="8" t="s">
        <v>3</v>
      </c>
      <c r="F65" s="9" t="s">
        <v>157</v>
      </c>
      <c r="G65" s="14">
        <v>1860</v>
      </c>
      <c r="H65" s="10" t="s">
        <v>5</v>
      </c>
      <c r="I65" s="11">
        <v>64.8</v>
      </c>
      <c r="J65" s="12">
        <f>G65/I65</f>
        <v>28.703703703703706</v>
      </c>
    </row>
    <row r="66" spans="1:10">
      <c r="A66" s="8"/>
      <c r="B66" s="16" t="s">
        <v>158</v>
      </c>
      <c r="C66" s="7" t="s">
        <v>343</v>
      </c>
      <c r="D66" s="16"/>
      <c r="E66" s="8" t="s">
        <v>29</v>
      </c>
      <c r="F66" s="9" t="s">
        <v>159</v>
      </c>
      <c r="G66" s="14">
        <v>950</v>
      </c>
      <c r="H66" s="10" t="s">
        <v>5</v>
      </c>
      <c r="I66" s="11">
        <v>64.8</v>
      </c>
      <c r="J66" s="12">
        <f>G66/I66</f>
        <v>14.660493827160494</v>
      </c>
    </row>
    <row r="67" spans="1:10">
      <c r="A67" s="8"/>
      <c r="B67" s="16" t="s">
        <v>160</v>
      </c>
      <c r="C67" s="7" t="s">
        <v>343</v>
      </c>
      <c r="D67" s="16"/>
      <c r="E67" s="8" t="s">
        <v>20</v>
      </c>
      <c r="F67" s="9" t="s">
        <v>161</v>
      </c>
      <c r="G67" s="14">
        <v>600</v>
      </c>
      <c r="H67" s="10" t="s">
        <v>5</v>
      </c>
      <c r="I67" s="11">
        <v>64.8</v>
      </c>
      <c r="J67" s="12">
        <f>G67/I67</f>
        <v>9.2592592592592595</v>
      </c>
    </row>
    <row r="68" spans="1:10">
      <c r="A68" s="8"/>
      <c r="B68" s="16" t="s">
        <v>162</v>
      </c>
      <c r="C68" s="7" t="s">
        <v>343</v>
      </c>
      <c r="D68" s="16"/>
      <c r="E68" s="8" t="s">
        <v>29</v>
      </c>
      <c r="F68" s="9" t="s">
        <v>163</v>
      </c>
      <c r="G68" s="14">
        <v>550</v>
      </c>
      <c r="H68" s="10" t="s">
        <v>5</v>
      </c>
      <c r="I68" s="11">
        <v>64.8</v>
      </c>
      <c r="J68" s="12">
        <f>G68/I68</f>
        <v>8.4876543209876552</v>
      </c>
    </row>
    <row r="69" spans="1:10">
      <c r="A69" s="8"/>
      <c r="B69" s="16" t="s">
        <v>164</v>
      </c>
      <c r="C69" s="7" t="s">
        <v>343</v>
      </c>
      <c r="D69" s="16"/>
      <c r="E69" s="8" t="s">
        <v>3</v>
      </c>
      <c r="F69" s="9" t="s">
        <v>102</v>
      </c>
      <c r="G69" s="14">
        <v>1000</v>
      </c>
      <c r="H69" s="10" t="s">
        <v>5</v>
      </c>
      <c r="I69" s="11">
        <v>64.8</v>
      </c>
      <c r="J69" s="12">
        <f>G69/I69</f>
        <v>15.4320987654321</v>
      </c>
    </row>
    <row r="70" spans="1:10">
      <c r="A70" s="8"/>
      <c r="B70" s="16" t="s">
        <v>165</v>
      </c>
      <c r="C70" s="7" t="s">
        <v>343</v>
      </c>
      <c r="D70" s="16"/>
      <c r="E70" s="8" t="s">
        <v>42</v>
      </c>
      <c r="F70" s="9" t="s">
        <v>166</v>
      </c>
      <c r="G70" s="14">
        <v>80</v>
      </c>
      <c r="H70" s="10" t="s">
        <v>5</v>
      </c>
      <c r="I70" s="11">
        <v>64.8</v>
      </c>
      <c r="J70" s="12">
        <f>G70/I70</f>
        <v>1.2345679012345681</v>
      </c>
    </row>
    <row r="71" spans="1:10">
      <c r="A71" s="8">
        <v>297</v>
      </c>
      <c r="B71" s="16" t="s">
        <v>167</v>
      </c>
      <c r="C71" s="7" t="s">
        <v>344</v>
      </c>
      <c r="D71" s="16"/>
      <c r="E71" s="8" t="s">
        <v>3</v>
      </c>
      <c r="F71" s="9" t="s">
        <v>168</v>
      </c>
      <c r="G71" s="14">
        <v>1550</v>
      </c>
      <c r="H71" s="10" t="s">
        <v>5</v>
      </c>
      <c r="I71" s="11">
        <v>64.8</v>
      </c>
      <c r="J71" s="12">
        <f>G71/I71</f>
        <v>23.919753086419753</v>
      </c>
    </row>
    <row r="72" spans="1:10">
      <c r="A72" s="8">
        <v>1740</v>
      </c>
      <c r="B72" s="16" t="s">
        <v>169</v>
      </c>
      <c r="C72" s="7" t="s">
        <v>345</v>
      </c>
      <c r="D72" s="16"/>
      <c r="E72" s="8" t="s">
        <v>3</v>
      </c>
      <c r="F72" s="9" t="s">
        <v>170</v>
      </c>
      <c r="G72" s="14">
        <v>3790</v>
      </c>
      <c r="H72" s="10" t="s">
        <v>5</v>
      </c>
      <c r="I72" s="11">
        <v>64.8</v>
      </c>
      <c r="J72" s="12">
        <f>G72/I72</f>
        <v>58.487654320987659</v>
      </c>
    </row>
    <row r="73" spans="1:10">
      <c r="A73" s="8"/>
      <c r="B73" s="16" t="s">
        <v>171</v>
      </c>
      <c r="C73" s="7" t="s">
        <v>345</v>
      </c>
      <c r="D73" s="16"/>
      <c r="E73" s="8" t="s">
        <v>92</v>
      </c>
      <c r="F73" s="9" t="s">
        <v>172</v>
      </c>
      <c r="G73" s="14">
        <v>1020</v>
      </c>
      <c r="H73" s="10" t="s">
        <v>5</v>
      </c>
      <c r="I73" s="11">
        <v>64.8</v>
      </c>
      <c r="J73" s="12">
        <f>G73/I73</f>
        <v>15.740740740740742</v>
      </c>
    </row>
    <row r="74" spans="1:10">
      <c r="A74" s="8"/>
      <c r="B74" s="16" t="s">
        <v>173</v>
      </c>
      <c r="C74" s="7" t="s">
        <v>345</v>
      </c>
      <c r="D74" s="16"/>
      <c r="E74" s="8" t="s">
        <v>29</v>
      </c>
      <c r="F74" s="9" t="s">
        <v>174</v>
      </c>
      <c r="G74" s="14">
        <v>900</v>
      </c>
      <c r="H74" s="10" t="s">
        <v>5</v>
      </c>
      <c r="I74" s="11">
        <v>64.8</v>
      </c>
      <c r="J74" s="12">
        <f>G74/I74</f>
        <v>13.888888888888889</v>
      </c>
    </row>
    <row r="75" spans="1:10">
      <c r="A75" s="8">
        <v>1774</v>
      </c>
      <c r="B75" s="16" t="s">
        <v>175</v>
      </c>
      <c r="C75" s="7" t="s">
        <v>345</v>
      </c>
      <c r="D75" s="16"/>
      <c r="E75" s="8" t="s">
        <v>9</v>
      </c>
      <c r="F75" s="9" t="s">
        <v>176</v>
      </c>
      <c r="G75" s="14">
        <v>1000</v>
      </c>
      <c r="H75" s="10" t="s">
        <v>5</v>
      </c>
      <c r="I75" s="11">
        <v>64.8</v>
      </c>
      <c r="J75" s="12">
        <f>G75/I75</f>
        <v>15.4320987654321</v>
      </c>
    </row>
    <row r="76" spans="1:10">
      <c r="A76" s="8"/>
      <c r="B76" s="16" t="s">
        <v>177</v>
      </c>
      <c r="C76" s="7" t="s">
        <v>345</v>
      </c>
      <c r="D76" s="16"/>
      <c r="E76" s="8" t="s">
        <v>13</v>
      </c>
      <c r="F76" s="18" t="s">
        <v>178</v>
      </c>
      <c r="G76" s="19">
        <v>5600</v>
      </c>
      <c r="H76" s="10" t="s">
        <v>5</v>
      </c>
      <c r="I76" s="11">
        <v>64.8</v>
      </c>
      <c r="J76" s="12">
        <f>G76/I76</f>
        <v>86.41975308641976</v>
      </c>
    </row>
    <row r="77" spans="1:10">
      <c r="A77" s="8">
        <v>119</v>
      </c>
      <c r="B77" s="16" t="s">
        <v>179</v>
      </c>
      <c r="C77" s="7" t="s">
        <v>345</v>
      </c>
      <c r="D77" s="16"/>
      <c r="E77" s="8" t="s">
        <v>13</v>
      </c>
      <c r="F77" s="9" t="s">
        <v>180</v>
      </c>
      <c r="G77" s="14">
        <v>59120</v>
      </c>
      <c r="H77" s="10" t="s">
        <v>5</v>
      </c>
      <c r="I77" s="11">
        <v>64.8</v>
      </c>
      <c r="J77" s="12">
        <f>G77/I77</f>
        <v>912.34567901234573</v>
      </c>
    </row>
    <row r="78" spans="1:10">
      <c r="A78" s="8" t="s">
        <v>181</v>
      </c>
      <c r="B78" s="16" t="s">
        <v>182</v>
      </c>
      <c r="C78" s="7" t="s">
        <v>345</v>
      </c>
      <c r="D78" s="16"/>
      <c r="E78" s="8" t="s">
        <v>3</v>
      </c>
      <c r="F78" s="9" t="s">
        <v>183</v>
      </c>
      <c r="G78" s="14">
        <v>5810</v>
      </c>
      <c r="H78" s="10" t="s">
        <v>5</v>
      </c>
      <c r="I78" s="11">
        <v>64.8</v>
      </c>
      <c r="J78" s="12">
        <f>G78/I78</f>
        <v>89.660493827160494</v>
      </c>
    </row>
    <row r="79" spans="1:10">
      <c r="A79" s="8">
        <v>1748</v>
      </c>
      <c r="B79" s="16" t="s">
        <v>184</v>
      </c>
      <c r="C79" s="7" t="s">
        <v>346</v>
      </c>
      <c r="D79" s="16"/>
      <c r="E79" s="8" t="s">
        <v>3</v>
      </c>
      <c r="F79" s="9" t="s">
        <v>185</v>
      </c>
      <c r="G79" s="14">
        <v>1820</v>
      </c>
      <c r="H79" s="10" t="s">
        <v>5</v>
      </c>
      <c r="I79" s="11">
        <v>64.8</v>
      </c>
      <c r="J79" s="12">
        <f>G79/I79</f>
        <v>28.086419753086421</v>
      </c>
    </row>
    <row r="80" spans="1:10">
      <c r="A80" s="8">
        <v>17485</v>
      </c>
      <c r="B80" s="16" t="s">
        <v>186</v>
      </c>
      <c r="C80" s="7" t="s">
        <v>347</v>
      </c>
      <c r="D80" s="16"/>
      <c r="E80" s="8" t="s">
        <v>9</v>
      </c>
      <c r="F80" s="9" t="s">
        <v>187</v>
      </c>
      <c r="G80" s="14">
        <v>1000</v>
      </c>
      <c r="H80" s="10" t="s">
        <v>5</v>
      </c>
      <c r="I80" s="11">
        <v>64.8</v>
      </c>
      <c r="J80" s="12">
        <f>G80/I80</f>
        <v>15.4320987654321</v>
      </c>
    </row>
    <row r="81" spans="1:10">
      <c r="A81" s="8"/>
      <c r="B81" s="16" t="s">
        <v>188</v>
      </c>
      <c r="C81" s="7" t="s">
        <v>347</v>
      </c>
      <c r="D81" s="16"/>
      <c r="E81" s="8" t="s">
        <v>42</v>
      </c>
      <c r="F81" s="9" t="s">
        <v>189</v>
      </c>
      <c r="G81" s="14">
        <v>2000</v>
      </c>
      <c r="H81" s="10" t="s">
        <v>5</v>
      </c>
      <c r="I81" s="11">
        <v>64.8</v>
      </c>
      <c r="J81" s="12">
        <f>G81/I81</f>
        <v>30.8641975308642</v>
      </c>
    </row>
    <row r="82" spans="1:10">
      <c r="A82" s="8">
        <v>854</v>
      </c>
      <c r="B82" s="16" t="s">
        <v>190</v>
      </c>
      <c r="C82" s="7" t="s">
        <v>347</v>
      </c>
      <c r="D82" s="16"/>
      <c r="E82" s="8" t="s">
        <v>13</v>
      </c>
      <c r="F82" s="9" t="s">
        <v>191</v>
      </c>
      <c r="G82" s="14">
        <v>2150</v>
      </c>
      <c r="H82" s="10" t="s">
        <v>5</v>
      </c>
      <c r="I82" s="11">
        <v>64.8</v>
      </c>
      <c r="J82" s="12">
        <f>G82/I82</f>
        <v>33.179012345679013</v>
      </c>
    </row>
    <row r="83" spans="1:10">
      <c r="A83" s="8"/>
      <c r="B83" s="16" t="s">
        <v>192</v>
      </c>
      <c r="C83" s="7" t="s">
        <v>347</v>
      </c>
      <c r="D83" s="16"/>
      <c r="E83" s="8" t="s">
        <v>13</v>
      </c>
      <c r="F83" s="9" t="s">
        <v>193</v>
      </c>
      <c r="G83" s="14">
        <v>38300</v>
      </c>
      <c r="H83" s="10" t="s">
        <v>5</v>
      </c>
      <c r="I83" s="11">
        <v>64.8</v>
      </c>
      <c r="J83" s="12">
        <f>G83/I83</f>
        <v>591.04938271604942</v>
      </c>
    </row>
    <row r="84" spans="1:10">
      <c r="A84" s="8">
        <v>321</v>
      </c>
      <c r="B84" s="16" t="s">
        <v>194</v>
      </c>
      <c r="C84" s="7" t="s">
        <v>347</v>
      </c>
      <c r="D84" s="16"/>
      <c r="E84" s="8" t="s">
        <v>20</v>
      </c>
      <c r="F84" s="9" t="s">
        <v>195</v>
      </c>
      <c r="G84" s="14">
        <v>9000</v>
      </c>
      <c r="H84" s="10" t="s">
        <v>5</v>
      </c>
      <c r="I84" s="11">
        <v>64.8</v>
      </c>
      <c r="J84" s="12">
        <f>G84/I84</f>
        <v>138.88888888888889</v>
      </c>
    </row>
    <row r="85" spans="1:10">
      <c r="A85" s="8" t="s">
        <v>196</v>
      </c>
      <c r="B85" s="20" t="s">
        <v>197</v>
      </c>
      <c r="C85" s="7" t="s">
        <v>347</v>
      </c>
      <c r="D85" s="20"/>
      <c r="E85" s="8" t="s">
        <v>3</v>
      </c>
      <c r="F85" s="9" t="s">
        <v>198</v>
      </c>
      <c r="G85" s="14">
        <v>3020</v>
      </c>
      <c r="H85" s="10" t="s">
        <v>5</v>
      </c>
      <c r="I85" s="11">
        <v>64.8</v>
      </c>
      <c r="J85" s="12">
        <f>G85/I85</f>
        <v>46.604938271604944</v>
      </c>
    </row>
    <row r="86" spans="1:10">
      <c r="A86" s="8">
        <v>84</v>
      </c>
      <c r="B86" s="16" t="s">
        <v>199</v>
      </c>
      <c r="C86" s="7" t="s">
        <v>347</v>
      </c>
      <c r="D86" s="16"/>
      <c r="E86" s="8" t="s">
        <v>3</v>
      </c>
      <c r="F86" s="9" t="s">
        <v>200</v>
      </c>
      <c r="G86" s="14">
        <v>8560</v>
      </c>
      <c r="H86" s="10" t="s">
        <v>5</v>
      </c>
      <c r="I86" s="11">
        <v>64.8</v>
      </c>
      <c r="J86" s="12">
        <f>G86/I86</f>
        <v>132.09876543209876</v>
      </c>
    </row>
    <row r="87" spans="1:10">
      <c r="A87" s="8">
        <v>762</v>
      </c>
      <c r="B87" s="16" t="s">
        <v>201</v>
      </c>
      <c r="C87" s="7" t="s">
        <v>348</v>
      </c>
      <c r="D87" s="16"/>
      <c r="E87" s="8" t="s">
        <v>3</v>
      </c>
      <c r="F87" s="9" t="s">
        <v>4</v>
      </c>
      <c r="G87" s="14">
        <v>1760</v>
      </c>
      <c r="H87" s="10" t="s">
        <v>5</v>
      </c>
      <c r="I87" s="11">
        <v>64.8</v>
      </c>
      <c r="J87" s="12">
        <f>G87/I87</f>
        <v>27.160493827160494</v>
      </c>
    </row>
    <row r="88" spans="1:10">
      <c r="A88" s="8"/>
      <c r="B88" s="16" t="s">
        <v>202</v>
      </c>
      <c r="C88" s="7" t="s">
        <v>348</v>
      </c>
      <c r="D88" s="16"/>
      <c r="E88" s="8" t="s">
        <v>42</v>
      </c>
      <c r="F88" s="9" t="s">
        <v>203</v>
      </c>
      <c r="G88" s="14">
        <v>2000</v>
      </c>
      <c r="H88" s="10" t="s">
        <v>5</v>
      </c>
      <c r="I88" s="11">
        <v>64.8</v>
      </c>
      <c r="J88" s="12">
        <f>G88/I88</f>
        <v>30.8641975308642</v>
      </c>
    </row>
    <row r="89" spans="1:10">
      <c r="A89" s="8"/>
      <c r="B89" s="16" t="s">
        <v>204</v>
      </c>
      <c r="C89" s="7" t="s">
        <v>348</v>
      </c>
      <c r="D89" s="16"/>
      <c r="E89" s="8" t="s">
        <v>13</v>
      </c>
      <c r="F89" s="9" t="s">
        <v>205</v>
      </c>
      <c r="G89" s="14">
        <v>3250</v>
      </c>
      <c r="H89" s="10" t="s">
        <v>5</v>
      </c>
      <c r="I89" s="11">
        <v>64.8</v>
      </c>
      <c r="J89" s="12">
        <f>G89/I89</f>
        <v>50.154320987654323</v>
      </c>
    </row>
    <row r="90" spans="1:10">
      <c r="A90" s="8"/>
      <c r="B90" s="16" t="s">
        <v>206</v>
      </c>
      <c r="C90" s="7" t="s">
        <v>349</v>
      </c>
      <c r="D90" s="16"/>
      <c r="E90" s="8" t="s">
        <v>20</v>
      </c>
      <c r="F90" s="9" t="s">
        <v>207</v>
      </c>
      <c r="G90" s="14">
        <v>6780</v>
      </c>
      <c r="H90" s="10" t="s">
        <v>5</v>
      </c>
      <c r="I90" s="11">
        <v>64.8</v>
      </c>
      <c r="J90" s="12">
        <f>G90/I90</f>
        <v>104.62962962962963</v>
      </c>
    </row>
    <row r="91" spans="1:10">
      <c r="A91" s="8" t="s">
        <v>208</v>
      </c>
      <c r="B91" s="20" t="s">
        <v>209</v>
      </c>
      <c r="C91" s="7" t="s">
        <v>349</v>
      </c>
      <c r="D91" s="20"/>
      <c r="E91" s="8" t="s">
        <v>3</v>
      </c>
      <c r="F91" s="9" t="s">
        <v>210</v>
      </c>
      <c r="G91" s="14">
        <v>2430</v>
      </c>
      <c r="H91" s="10" t="s">
        <v>5</v>
      </c>
      <c r="I91" s="11">
        <v>64.8</v>
      </c>
      <c r="J91" s="12">
        <f>G91/I91</f>
        <v>37.5</v>
      </c>
    </row>
    <row r="92" spans="1:10">
      <c r="A92" s="8"/>
      <c r="B92" s="16" t="s">
        <v>211</v>
      </c>
      <c r="C92" s="7" t="s">
        <v>349</v>
      </c>
      <c r="D92" s="16"/>
      <c r="E92" s="8" t="s">
        <v>64</v>
      </c>
      <c r="F92" s="9" t="s">
        <v>212</v>
      </c>
      <c r="G92" s="14">
        <v>900</v>
      </c>
      <c r="H92" s="10" t="s">
        <v>5</v>
      </c>
      <c r="I92" s="11">
        <v>64.8</v>
      </c>
      <c r="J92" s="12">
        <f>G92/I92</f>
        <v>13.888888888888889</v>
      </c>
    </row>
    <row r="93" spans="1:10">
      <c r="A93" s="8"/>
      <c r="B93" s="16" t="s">
        <v>213</v>
      </c>
      <c r="C93" s="7" t="s">
        <v>349</v>
      </c>
      <c r="D93" s="16"/>
      <c r="E93" s="8" t="s">
        <v>136</v>
      </c>
      <c r="F93" s="9" t="s">
        <v>137</v>
      </c>
      <c r="G93" s="10">
        <v>800</v>
      </c>
      <c r="H93" s="10" t="s">
        <v>5</v>
      </c>
      <c r="I93" s="11">
        <v>64.8</v>
      </c>
      <c r="J93" s="12">
        <f>G93/I93</f>
        <v>12.345679012345679</v>
      </c>
    </row>
    <row r="94" spans="1:10">
      <c r="A94" s="8"/>
      <c r="B94" s="16" t="s">
        <v>214</v>
      </c>
      <c r="C94" s="7" t="s">
        <v>349</v>
      </c>
      <c r="D94" s="16"/>
      <c r="E94" s="8" t="s">
        <v>3</v>
      </c>
      <c r="F94" s="9" t="s">
        <v>102</v>
      </c>
      <c r="G94" s="14">
        <v>1000</v>
      </c>
      <c r="H94" s="10" t="s">
        <v>5</v>
      </c>
      <c r="I94" s="11">
        <v>64.8</v>
      </c>
      <c r="J94" s="12">
        <f>G94/I94</f>
        <v>15.4320987654321</v>
      </c>
    </row>
    <row r="95" spans="1:10">
      <c r="A95" s="8">
        <v>376</v>
      </c>
      <c r="B95" s="16" t="s">
        <v>215</v>
      </c>
      <c r="C95" s="7" t="s">
        <v>349</v>
      </c>
      <c r="D95" s="16"/>
      <c r="E95" s="8" t="s">
        <v>35</v>
      </c>
      <c r="F95" s="9" t="s">
        <v>216</v>
      </c>
      <c r="G95" s="14">
        <v>4050</v>
      </c>
      <c r="H95" s="10" t="s">
        <v>5</v>
      </c>
      <c r="I95" s="11">
        <v>64.8</v>
      </c>
      <c r="J95" s="12">
        <f>G95/I95</f>
        <v>62.5</v>
      </c>
    </row>
    <row r="96" spans="1:10">
      <c r="A96" s="8">
        <v>150</v>
      </c>
      <c r="B96" s="16" t="s">
        <v>217</v>
      </c>
      <c r="C96" s="7" t="s">
        <v>349</v>
      </c>
      <c r="D96" s="16"/>
      <c r="E96" s="8" t="s">
        <v>35</v>
      </c>
      <c r="F96" s="9" t="s">
        <v>218</v>
      </c>
      <c r="G96" s="14">
        <v>12600</v>
      </c>
      <c r="H96" s="10" t="s">
        <v>5</v>
      </c>
      <c r="I96" s="11">
        <v>64.8</v>
      </c>
      <c r="J96" s="12">
        <f>G96/I96</f>
        <v>194.44444444444446</v>
      </c>
    </row>
    <row r="97" spans="1:10">
      <c r="A97" s="8">
        <v>2580</v>
      </c>
      <c r="B97" s="16" t="s">
        <v>219</v>
      </c>
      <c r="C97" s="7" t="s">
        <v>350</v>
      </c>
      <c r="D97" s="16"/>
      <c r="E97" s="8" t="s">
        <v>92</v>
      </c>
      <c r="F97" s="9" t="s">
        <v>220</v>
      </c>
      <c r="G97" s="14">
        <v>3200</v>
      </c>
      <c r="H97" s="10" t="s">
        <v>5</v>
      </c>
      <c r="I97" s="11">
        <v>64.8</v>
      </c>
      <c r="J97" s="12">
        <f>G97/I97</f>
        <v>49.382716049382715</v>
      </c>
    </row>
    <row r="98" spans="1:10">
      <c r="A98" s="8">
        <v>1</v>
      </c>
      <c r="B98" s="16" t="s">
        <v>221</v>
      </c>
      <c r="C98" s="7" t="s">
        <v>350</v>
      </c>
      <c r="D98" s="16"/>
      <c r="E98" s="8" t="s">
        <v>42</v>
      </c>
      <c r="F98" s="9" t="s">
        <v>222</v>
      </c>
      <c r="G98" s="14">
        <v>300</v>
      </c>
      <c r="H98" s="10" t="s">
        <v>5</v>
      </c>
      <c r="I98" s="11">
        <v>64.8</v>
      </c>
      <c r="J98" s="12">
        <f>G98/I98</f>
        <v>4.6296296296296298</v>
      </c>
    </row>
    <row r="99" spans="1:10">
      <c r="A99" s="8" t="s">
        <v>223</v>
      </c>
      <c r="B99" s="16" t="s">
        <v>224</v>
      </c>
      <c r="C99" s="7" t="s">
        <v>350</v>
      </c>
      <c r="D99" s="16"/>
      <c r="E99" s="8" t="s">
        <v>3</v>
      </c>
      <c r="F99" s="9" t="s">
        <v>225</v>
      </c>
      <c r="G99" s="14">
        <v>2060</v>
      </c>
      <c r="H99" s="10" t="s">
        <v>5</v>
      </c>
      <c r="I99" s="11">
        <v>64.8</v>
      </c>
      <c r="J99" s="12">
        <f>G99/I99</f>
        <v>31.790123456790123</v>
      </c>
    </row>
    <row r="100" spans="1:10">
      <c r="A100" s="8"/>
      <c r="B100" s="16" t="s">
        <v>226</v>
      </c>
      <c r="C100" s="7" t="s">
        <v>351</v>
      </c>
      <c r="D100" s="16"/>
      <c r="E100" s="8" t="s">
        <v>3</v>
      </c>
      <c r="F100" s="9" t="s">
        <v>227</v>
      </c>
      <c r="G100" s="14">
        <v>1390</v>
      </c>
      <c r="H100" s="10" t="s">
        <v>5</v>
      </c>
      <c r="I100" s="11">
        <v>64.8</v>
      </c>
      <c r="J100" s="12">
        <f>G100/I100</f>
        <v>21.450617283950617</v>
      </c>
    </row>
    <row r="101" spans="1:10">
      <c r="A101" s="8">
        <v>788</v>
      </c>
      <c r="B101" s="16" t="s">
        <v>228</v>
      </c>
      <c r="C101" s="7" t="s">
        <v>352</v>
      </c>
      <c r="D101" s="16"/>
      <c r="E101" s="8" t="s">
        <v>3</v>
      </c>
      <c r="F101" s="9" t="s">
        <v>229</v>
      </c>
      <c r="G101" s="14">
        <v>2260</v>
      </c>
      <c r="H101" s="10" t="s">
        <v>5</v>
      </c>
      <c r="I101" s="11">
        <v>64.8</v>
      </c>
      <c r="J101" s="12">
        <f>G101/I101</f>
        <v>34.876543209876544</v>
      </c>
    </row>
    <row r="102" spans="1:10">
      <c r="A102" s="8"/>
      <c r="B102" s="16" t="s">
        <v>230</v>
      </c>
      <c r="C102" s="7" t="s">
        <v>352</v>
      </c>
      <c r="D102" s="16"/>
      <c r="E102" s="8" t="s">
        <v>92</v>
      </c>
      <c r="F102" s="9" t="s">
        <v>231</v>
      </c>
      <c r="G102" s="14">
        <v>1300</v>
      </c>
      <c r="H102" s="10" t="s">
        <v>5</v>
      </c>
      <c r="I102" s="11">
        <v>64.8</v>
      </c>
      <c r="J102" s="12">
        <f>G102/I102</f>
        <v>20.061728395061728</v>
      </c>
    </row>
    <row r="103" spans="1:10">
      <c r="A103" s="8">
        <v>321</v>
      </c>
      <c r="B103" s="16" t="s">
        <v>232</v>
      </c>
      <c r="C103" s="7" t="s">
        <v>352</v>
      </c>
      <c r="D103" s="16"/>
      <c r="E103" s="8" t="s">
        <v>136</v>
      </c>
      <c r="F103" s="9" t="s">
        <v>233</v>
      </c>
      <c r="G103" s="14">
        <v>340</v>
      </c>
      <c r="H103" s="10" t="s">
        <v>5</v>
      </c>
      <c r="I103" s="11">
        <v>64.8</v>
      </c>
      <c r="J103" s="12">
        <f>G103/I103</f>
        <v>5.2469135802469138</v>
      </c>
    </row>
    <row r="104" spans="1:10">
      <c r="A104" s="8"/>
      <c r="B104" s="16" t="s">
        <v>234</v>
      </c>
      <c r="C104" s="7" t="s">
        <v>353</v>
      </c>
      <c r="D104" s="16"/>
      <c r="E104" s="8" t="s">
        <v>20</v>
      </c>
      <c r="F104" s="9" t="s">
        <v>235</v>
      </c>
      <c r="G104" s="14">
        <v>2400</v>
      </c>
      <c r="H104" s="10" t="s">
        <v>5</v>
      </c>
      <c r="I104" s="11">
        <v>64.8</v>
      </c>
      <c r="J104" s="12">
        <f>G104/I104</f>
        <v>37.037037037037038</v>
      </c>
    </row>
    <row r="105" spans="1:10">
      <c r="A105" s="8">
        <v>597</v>
      </c>
      <c r="B105" s="16" t="s">
        <v>236</v>
      </c>
      <c r="C105" s="7" t="s">
        <v>353</v>
      </c>
      <c r="D105" s="16"/>
      <c r="E105" s="8" t="s">
        <v>13</v>
      </c>
      <c r="F105" s="9" t="s">
        <v>237</v>
      </c>
      <c r="G105" s="14">
        <v>22440</v>
      </c>
      <c r="H105" s="10" t="s">
        <v>5</v>
      </c>
      <c r="I105" s="11">
        <v>64.8</v>
      </c>
      <c r="J105" s="12">
        <f>G105/I105</f>
        <v>346.2962962962963</v>
      </c>
    </row>
    <row r="106" spans="1:10">
      <c r="A106" s="8" t="s">
        <v>238</v>
      </c>
      <c r="B106" s="16" t="s">
        <v>239</v>
      </c>
      <c r="C106" s="7" t="s">
        <v>353</v>
      </c>
      <c r="D106" s="16"/>
      <c r="E106" s="8" t="s">
        <v>3</v>
      </c>
      <c r="F106" s="9" t="s">
        <v>240</v>
      </c>
      <c r="G106" s="14">
        <v>2250</v>
      </c>
      <c r="H106" s="10" t="s">
        <v>5</v>
      </c>
      <c r="I106" s="11">
        <v>64.8</v>
      </c>
      <c r="J106" s="12">
        <f>G106/I106</f>
        <v>34.722222222222221</v>
      </c>
    </row>
    <row r="107" spans="1:10">
      <c r="A107" s="8"/>
      <c r="B107" s="16" t="s">
        <v>241</v>
      </c>
      <c r="C107" s="7" t="s">
        <v>353</v>
      </c>
      <c r="D107" s="16"/>
      <c r="E107" s="8" t="s">
        <v>35</v>
      </c>
      <c r="F107" s="9" t="s">
        <v>242</v>
      </c>
      <c r="G107" s="13">
        <v>6720</v>
      </c>
      <c r="H107" s="10" t="s">
        <v>5</v>
      </c>
      <c r="I107" s="11">
        <v>64.8</v>
      </c>
      <c r="J107" s="12">
        <f>G107/I107</f>
        <v>103.70370370370371</v>
      </c>
    </row>
    <row r="108" spans="1:10">
      <c r="A108" s="8"/>
      <c r="B108" s="16" t="s">
        <v>243</v>
      </c>
      <c r="C108" s="7" t="s">
        <v>354</v>
      </c>
      <c r="D108" s="16"/>
      <c r="E108" s="8" t="s">
        <v>3</v>
      </c>
      <c r="F108" s="9" t="s">
        <v>244</v>
      </c>
      <c r="G108" s="17">
        <v>1410</v>
      </c>
      <c r="H108" s="10" t="s">
        <v>5</v>
      </c>
      <c r="I108" s="11">
        <v>64.8</v>
      </c>
      <c r="J108" s="12">
        <f>G108/I108</f>
        <v>21.75925925925926</v>
      </c>
    </row>
    <row r="109" spans="1:10">
      <c r="A109" s="8"/>
      <c r="B109" s="16" t="s">
        <v>245</v>
      </c>
      <c r="C109" s="7" t="s">
        <v>355</v>
      </c>
      <c r="D109" s="16"/>
      <c r="E109" s="8" t="s">
        <v>3</v>
      </c>
      <c r="F109" s="9" t="s">
        <v>244</v>
      </c>
      <c r="G109" s="17">
        <v>1410</v>
      </c>
      <c r="H109" s="10" t="s">
        <v>5</v>
      </c>
      <c r="I109" s="11">
        <v>64.8</v>
      </c>
      <c r="J109" s="12">
        <f>G109/I109</f>
        <v>21.75925925925926</v>
      </c>
    </row>
    <row r="110" spans="1:10">
      <c r="A110" s="8">
        <v>9969</v>
      </c>
      <c r="B110" s="16" t="s">
        <v>246</v>
      </c>
      <c r="C110" s="7" t="s">
        <v>355</v>
      </c>
      <c r="D110" s="16"/>
      <c r="E110" s="8" t="s">
        <v>9</v>
      </c>
      <c r="F110" s="9" t="s">
        <v>247</v>
      </c>
      <c r="G110" s="17">
        <v>1000</v>
      </c>
      <c r="H110" s="10" t="s">
        <v>5</v>
      </c>
      <c r="I110" s="11">
        <v>64.8</v>
      </c>
      <c r="J110" s="12">
        <f>G110/I110</f>
        <v>15.4320987654321</v>
      </c>
    </row>
    <row r="111" spans="1:10">
      <c r="A111" s="8"/>
      <c r="B111" s="16" t="s">
        <v>248</v>
      </c>
      <c r="C111" s="7" t="s">
        <v>355</v>
      </c>
      <c r="D111" s="16"/>
      <c r="E111" s="8" t="s">
        <v>92</v>
      </c>
      <c r="F111" s="9" t="s">
        <v>249</v>
      </c>
      <c r="G111" s="19">
        <v>1000</v>
      </c>
      <c r="H111" s="10" t="s">
        <v>5</v>
      </c>
      <c r="I111" s="11">
        <v>64.8</v>
      </c>
      <c r="J111" s="12">
        <f>G111/I111</f>
        <v>15.4320987654321</v>
      </c>
    </row>
    <row r="112" spans="1:10">
      <c r="A112" s="8"/>
      <c r="B112" s="16" t="s">
        <v>250</v>
      </c>
      <c r="C112" s="7" t="s">
        <v>355</v>
      </c>
      <c r="D112" s="16"/>
      <c r="E112" s="8" t="s">
        <v>29</v>
      </c>
      <c r="F112" s="9" t="s">
        <v>251</v>
      </c>
      <c r="G112" s="17">
        <v>1250</v>
      </c>
      <c r="H112" s="10" t="s">
        <v>5</v>
      </c>
      <c r="I112" s="11">
        <v>64.8</v>
      </c>
      <c r="J112" s="12">
        <f>G112/I112</f>
        <v>19.290123456790123</v>
      </c>
    </row>
    <row r="113" spans="1:10">
      <c r="A113" s="8"/>
      <c r="B113" s="16" t="s">
        <v>252</v>
      </c>
      <c r="C113" s="7" t="s">
        <v>355</v>
      </c>
      <c r="D113" s="16"/>
      <c r="E113" s="8" t="s">
        <v>64</v>
      </c>
      <c r="F113" s="9" t="s">
        <v>253</v>
      </c>
      <c r="G113" s="17">
        <v>12000</v>
      </c>
      <c r="H113" s="10" t="s">
        <v>5</v>
      </c>
      <c r="I113" s="11">
        <v>64.8</v>
      </c>
      <c r="J113" s="12">
        <f>G113/I113</f>
        <v>185.18518518518519</v>
      </c>
    </row>
    <row r="114" spans="1:10">
      <c r="A114" s="8"/>
      <c r="B114" s="16" t="s">
        <v>254</v>
      </c>
      <c r="C114" s="7" t="s">
        <v>355</v>
      </c>
      <c r="D114" s="16"/>
      <c r="E114" s="8" t="s">
        <v>3</v>
      </c>
      <c r="F114" s="9" t="s">
        <v>102</v>
      </c>
      <c r="G114" s="17">
        <v>2000</v>
      </c>
      <c r="H114" s="10" t="s">
        <v>5</v>
      </c>
      <c r="I114" s="11">
        <v>64.8</v>
      </c>
      <c r="J114" s="12">
        <f>G114/I114</f>
        <v>30.8641975308642</v>
      </c>
    </row>
    <row r="115" spans="1:10">
      <c r="A115" s="8"/>
      <c r="B115" s="16" t="s">
        <v>255</v>
      </c>
      <c r="C115" s="7" t="s">
        <v>355</v>
      </c>
      <c r="D115" s="16"/>
      <c r="E115" s="8" t="s">
        <v>64</v>
      </c>
      <c r="F115" s="9" t="s">
        <v>256</v>
      </c>
      <c r="G115" s="17">
        <v>150000</v>
      </c>
      <c r="H115" s="10" t="s">
        <v>5</v>
      </c>
      <c r="I115" s="11">
        <v>64.8</v>
      </c>
      <c r="J115" s="12">
        <f>G115/I115</f>
        <v>2314.8148148148148</v>
      </c>
    </row>
    <row r="116" spans="1:10">
      <c r="A116" s="8"/>
      <c r="B116" s="16" t="s">
        <v>257</v>
      </c>
      <c r="C116" s="7" t="s">
        <v>356</v>
      </c>
      <c r="D116" s="16"/>
      <c r="E116" s="8" t="s">
        <v>64</v>
      </c>
      <c r="F116" s="9" t="s">
        <v>258</v>
      </c>
      <c r="G116" s="17">
        <v>15300</v>
      </c>
      <c r="H116" s="10" t="s">
        <v>5</v>
      </c>
      <c r="I116" s="11">
        <v>64.8</v>
      </c>
      <c r="J116" s="12">
        <f>G116/I116</f>
        <v>236.11111111111111</v>
      </c>
    </row>
    <row r="117" spans="1:10">
      <c r="A117" s="8"/>
      <c r="B117" s="16" t="s">
        <v>259</v>
      </c>
      <c r="C117" s="7" t="s">
        <v>356</v>
      </c>
      <c r="D117" s="16"/>
      <c r="E117" s="8" t="s">
        <v>3</v>
      </c>
      <c r="F117" s="9" t="s">
        <v>73</v>
      </c>
      <c r="G117" s="14">
        <v>1000</v>
      </c>
      <c r="H117" s="10" t="s">
        <v>5</v>
      </c>
      <c r="I117" s="11">
        <v>64.8</v>
      </c>
      <c r="J117" s="12">
        <f>G117/I117</f>
        <v>15.4320987654321</v>
      </c>
    </row>
    <row r="118" spans="1:10">
      <c r="A118" s="8"/>
      <c r="B118" s="16" t="s">
        <v>260</v>
      </c>
      <c r="C118" s="7" t="s">
        <v>357</v>
      </c>
      <c r="D118" s="16"/>
      <c r="E118" s="8" t="s">
        <v>3</v>
      </c>
      <c r="F118" s="9" t="s">
        <v>102</v>
      </c>
      <c r="G118" s="14">
        <v>1000</v>
      </c>
      <c r="H118" s="10" t="s">
        <v>5</v>
      </c>
      <c r="I118" s="11">
        <v>64.8</v>
      </c>
      <c r="J118" s="12">
        <f>G118/I118</f>
        <v>15.4320987654321</v>
      </c>
    </row>
    <row r="119" spans="1:10">
      <c r="A119" s="8"/>
      <c r="B119" s="16" t="s">
        <v>261</v>
      </c>
      <c r="C119" s="7" t="s">
        <v>357</v>
      </c>
      <c r="D119" s="16"/>
      <c r="E119" s="8" t="s">
        <v>13</v>
      </c>
      <c r="F119" s="9" t="s">
        <v>262</v>
      </c>
      <c r="G119" s="14">
        <v>1625</v>
      </c>
      <c r="H119" s="10" t="s">
        <v>37</v>
      </c>
      <c r="I119" s="11">
        <v>1</v>
      </c>
      <c r="J119" s="12">
        <f>G119/I119</f>
        <v>1625</v>
      </c>
    </row>
    <row r="120" spans="1:10">
      <c r="A120" s="8"/>
      <c r="B120" s="16" t="s">
        <v>263</v>
      </c>
      <c r="C120" s="7" t="s">
        <v>357</v>
      </c>
      <c r="D120" s="16"/>
      <c r="E120" s="8" t="s">
        <v>29</v>
      </c>
      <c r="F120" s="9" t="s">
        <v>264</v>
      </c>
      <c r="G120" s="14">
        <v>9000</v>
      </c>
      <c r="H120" s="10" t="s">
        <v>5</v>
      </c>
      <c r="I120" s="11">
        <v>64.8</v>
      </c>
      <c r="J120" s="12">
        <f>G120/I120</f>
        <v>138.88888888888889</v>
      </c>
    </row>
    <row r="121" spans="1:10">
      <c r="A121" s="8"/>
      <c r="B121" s="16" t="s">
        <v>265</v>
      </c>
      <c r="C121" s="7" t="s">
        <v>357</v>
      </c>
      <c r="D121" s="16"/>
      <c r="E121" s="8" t="s">
        <v>266</v>
      </c>
      <c r="F121" s="9" t="s">
        <v>267</v>
      </c>
      <c r="G121" s="14">
        <v>600500</v>
      </c>
      <c r="H121" s="10" t="s">
        <v>5</v>
      </c>
      <c r="I121" s="11">
        <v>63.6</v>
      </c>
      <c r="J121" s="12">
        <f>G121/I121</f>
        <v>9441.8238993710693</v>
      </c>
    </row>
    <row r="122" spans="1:10">
      <c r="A122" s="8"/>
      <c r="B122" s="16" t="s">
        <v>268</v>
      </c>
      <c r="C122" s="7" t="s">
        <v>357</v>
      </c>
      <c r="D122" s="16"/>
      <c r="E122" s="8" t="s">
        <v>266</v>
      </c>
      <c r="F122" s="9" t="s">
        <v>269</v>
      </c>
      <c r="G122" s="14">
        <v>1216</v>
      </c>
      <c r="H122" s="10" t="s">
        <v>37</v>
      </c>
      <c r="I122" s="11">
        <v>1</v>
      </c>
      <c r="J122" s="12">
        <f>G122/I122</f>
        <v>1216</v>
      </c>
    </row>
    <row r="123" spans="1:10">
      <c r="A123" s="8"/>
      <c r="B123" s="16" t="s">
        <v>270</v>
      </c>
      <c r="C123" s="7" t="s">
        <v>357</v>
      </c>
      <c r="D123" s="16"/>
      <c r="E123" s="8" t="s">
        <v>271</v>
      </c>
      <c r="F123" s="9" t="s">
        <v>271</v>
      </c>
      <c r="G123" s="14">
        <v>763</v>
      </c>
      <c r="H123" s="10" t="s">
        <v>37</v>
      </c>
      <c r="I123" s="11">
        <v>1</v>
      </c>
      <c r="J123" s="12">
        <f>G123/I123</f>
        <v>763</v>
      </c>
    </row>
    <row r="124" spans="1:10">
      <c r="A124" s="8"/>
      <c r="B124" s="16" t="s">
        <v>272</v>
      </c>
      <c r="C124" s="7" t="s">
        <v>357</v>
      </c>
      <c r="D124" s="16"/>
      <c r="E124" s="8" t="s">
        <v>273</v>
      </c>
      <c r="F124" s="9" t="s">
        <v>274</v>
      </c>
      <c r="G124" s="14">
        <v>453630</v>
      </c>
      <c r="H124" s="10" t="s">
        <v>5</v>
      </c>
      <c r="I124" s="11">
        <v>65.099999999999994</v>
      </c>
      <c r="J124" s="12">
        <f>G124/I124</f>
        <v>6968.2027649769589</v>
      </c>
    </row>
    <row r="125" spans="1:10">
      <c r="A125" s="8">
        <v>1283</v>
      </c>
      <c r="B125" s="16" t="s">
        <v>275</v>
      </c>
      <c r="C125" s="7" t="s">
        <v>358</v>
      </c>
      <c r="D125" s="16"/>
      <c r="E125" s="8" t="s">
        <v>9</v>
      </c>
      <c r="F125" s="9" t="s">
        <v>276</v>
      </c>
      <c r="G125" s="14">
        <v>1720</v>
      </c>
      <c r="H125" s="10"/>
      <c r="I125" s="11"/>
      <c r="J125" s="12"/>
    </row>
    <row r="126" spans="1:10">
      <c r="A126" s="8">
        <v>89</v>
      </c>
      <c r="B126" s="16" t="s">
        <v>277</v>
      </c>
      <c r="C126" s="7" t="s">
        <v>358</v>
      </c>
      <c r="D126" s="16"/>
      <c r="E126" s="8" t="s">
        <v>13</v>
      </c>
      <c r="F126" s="9" t="s">
        <v>278</v>
      </c>
      <c r="G126" s="14">
        <v>600</v>
      </c>
      <c r="H126" s="10"/>
      <c r="I126" s="11"/>
      <c r="J126" s="12"/>
    </row>
    <row r="127" spans="1:10">
      <c r="A127" s="8"/>
      <c r="B127" s="16" t="s">
        <v>279</v>
      </c>
      <c r="C127" s="7" t="s">
        <v>358</v>
      </c>
      <c r="D127" s="16"/>
      <c r="E127" s="8" t="s">
        <v>13</v>
      </c>
      <c r="F127" s="9" t="s">
        <v>280</v>
      </c>
      <c r="G127" s="14">
        <v>1610</v>
      </c>
      <c r="H127" s="10"/>
      <c r="I127" s="11"/>
      <c r="J127" s="12"/>
    </row>
    <row r="128" spans="1:10">
      <c r="A128" s="8"/>
      <c r="B128" s="16" t="s">
        <v>281</v>
      </c>
      <c r="C128" s="7" t="s">
        <v>358</v>
      </c>
      <c r="D128" s="16"/>
      <c r="E128" s="8" t="s">
        <v>13</v>
      </c>
      <c r="F128" s="9" t="s">
        <v>282</v>
      </c>
      <c r="G128" s="14">
        <v>3640</v>
      </c>
      <c r="H128" s="10"/>
      <c r="I128" s="11"/>
      <c r="J128" s="12"/>
    </row>
    <row r="129" spans="1:10">
      <c r="A129" s="8"/>
      <c r="B129" s="16" t="s">
        <v>283</v>
      </c>
      <c r="C129" s="7" t="s">
        <v>359</v>
      </c>
      <c r="D129" s="16"/>
      <c r="E129" s="8" t="s">
        <v>3</v>
      </c>
      <c r="F129" s="9" t="s">
        <v>244</v>
      </c>
      <c r="G129" s="14">
        <v>1180</v>
      </c>
      <c r="H129" s="10"/>
      <c r="I129" s="11"/>
      <c r="J129" s="12"/>
    </row>
    <row r="130" spans="1:10">
      <c r="A130" s="8"/>
      <c r="B130" s="16" t="s">
        <v>284</v>
      </c>
      <c r="C130" s="7" t="s">
        <v>359</v>
      </c>
      <c r="D130" s="16"/>
      <c r="E130" s="8" t="s">
        <v>3</v>
      </c>
      <c r="F130" s="9" t="s">
        <v>285</v>
      </c>
      <c r="G130" s="14">
        <v>310</v>
      </c>
      <c r="H130" s="10"/>
      <c r="I130" s="11"/>
      <c r="J130" s="12"/>
    </row>
    <row r="131" spans="1:10">
      <c r="A131" s="8">
        <v>414</v>
      </c>
      <c r="B131" s="16" t="s">
        <v>286</v>
      </c>
      <c r="C131" s="7" t="s">
        <v>359</v>
      </c>
      <c r="D131" s="16"/>
      <c r="E131" s="8" t="s">
        <v>3</v>
      </c>
      <c r="F131" s="9" t="s">
        <v>287</v>
      </c>
      <c r="G131" s="14">
        <v>1260</v>
      </c>
      <c r="H131" s="10"/>
      <c r="I131" s="11"/>
      <c r="J131" s="12"/>
    </row>
    <row r="132" spans="1:10">
      <c r="A132" s="8">
        <v>229</v>
      </c>
      <c r="B132" s="16" t="s">
        <v>288</v>
      </c>
      <c r="C132" s="7" t="s">
        <v>359</v>
      </c>
      <c r="D132" s="16"/>
      <c r="E132" s="8" t="s">
        <v>3</v>
      </c>
      <c r="F132" s="9" t="s">
        <v>289</v>
      </c>
      <c r="G132" s="14">
        <v>9220</v>
      </c>
      <c r="H132" s="10"/>
      <c r="I132" s="11"/>
      <c r="J132" s="12"/>
    </row>
    <row r="133" spans="1:10">
      <c r="A133" s="8">
        <v>379</v>
      </c>
      <c r="B133" s="16" t="s">
        <v>290</v>
      </c>
      <c r="C133" s="7" t="s">
        <v>359</v>
      </c>
      <c r="D133" s="16"/>
      <c r="E133" s="8" t="s">
        <v>35</v>
      </c>
      <c r="F133" s="9" t="s">
        <v>291</v>
      </c>
      <c r="G133" s="14">
        <v>2650</v>
      </c>
      <c r="H133" s="10"/>
      <c r="I133" s="11"/>
      <c r="J133" s="12"/>
    </row>
    <row r="134" spans="1:10">
      <c r="A134" s="8">
        <v>118</v>
      </c>
      <c r="B134" s="16" t="s">
        <v>292</v>
      </c>
      <c r="C134" s="7" t="s">
        <v>359</v>
      </c>
      <c r="D134" s="16"/>
      <c r="E134" s="8" t="s">
        <v>3</v>
      </c>
      <c r="F134" s="9" t="s">
        <v>293</v>
      </c>
      <c r="G134" s="14">
        <v>4900</v>
      </c>
      <c r="H134" s="10"/>
      <c r="I134" s="11"/>
      <c r="J134" s="12"/>
    </row>
    <row r="135" spans="1:10">
      <c r="A135" s="8">
        <v>196</v>
      </c>
      <c r="B135" s="16" t="s">
        <v>294</v>
      </c>
      <c r="C135" s="7" t="s">
        <v>359</v>
      </c>
      <c r="D135" s="16"/>
      <c r="E135" s="8" t="s">
        <v>3</v>
      </c>
      <c r="F135" s="9" t="s">
        <v>295</v>
      </c>
      <c r="G135" s="14">
        <v>6400</v>
      </c>
      <c r="H135" s="10"/>
      <c r="I135" s="11"/>
      <c r="J135" s="12"/>
    </row>
    <row r="136" spans="1:10">
      <c r="A136" s="8"/>
      <c r="B136" s="16" t="s">
        <v>296</v>
      </c>
      <c r="C136" s="7" t="s">
        <v>359</v>
      </c>
      <c r="D136" s="16"/>
      <c r="E136" s="8" t="s">
        <v>3</v>
      </c>
      <c r="F136" s="9" t="s">
        <v>297</v>
      </c>
      <c r="G136" s="14">
        <v>4880</v>
      </c>
      <c r="H136" s="10"/>
      <c r="I136" s="11"/>
      <c r="J136" s="12"/>
    </row>
    <row r="137" spans="1:10">
      <c r="A137" s="8"/>
      <c r="B137" s="16" t="s">
        <v>298</v>
      </c>
      <c r="C137" s="7" t="s">
        <v>359</v>
      </c>
      <c r="D137" s="16"/>
      <c r="E137" s="8" t="s">
        <v>3</v>
      </c>
      <c r="F137" s="9" t="s">
        <v>299</v>
      </c>
      <c r="G137" s="14">
        <v>390</v>
      </c>
      <c r="H137" s="10"/>
      <c r="I137" s="11"/>
      <c r="J137" s="12"/>
    </row>
    <row r="138" spans="1:10">
      <c r="A138" s="8"/>
      <c r="B138" s="16" t="s">
        <v>300</v>
      </c>
      <c r="C138" s="7" t="s">
        <v>360</v>
      </c>
      <c r="D138" s="16"/>
      <c r="E138" s="8" t="s">
        <v>3</v>
      </c>
      <c r="F138" s="9" t="s">
        <v>244</v>
      </c>
      <c r="G138" s="14">
        <v>1180</v>
      </c>
      <c r="H138" s="10"/>
      <c r="I138" s="11"/>
      <c r="J138" s="12"/>
    </row>
    <row r="139" spans="1:10">
      <c r="A139" s="8"/>
      <c r="B139" s="16" t="s">
        <v>301</v>
      </c>
      <c r="C139" s="7" t="s">
        <v>360</v>
      </c>
      <c r="D139" s="16"/>
      <c r="E139" s="8" t="s">
        <v>3</v>
      </c>
      <c r="F139" s="9" t="s">
        <v>302</v>
      </c>
      <c r="G139" s="14">
        <v>1400</v>
      </c>
      <c r="H139" s="10"/>
      <c r="I139" s="11"/>
      <c r="J139" s="12"/>
    </row>
    <row r="140" spans="1:10">
      <c r="A140" s="8">
        <v>980</v>
      </c>
      <c r="B140" s="16" t="s">
        <v>303</v>
      </c>
      <c r="C140" s="7" t="s">
        <v>360</v>
      </c>
      <c r="D140" s="16"/>
      <c r="E140" s="8" t="s">
        <v>3</v>
      </c>
      <c r="F140" s="9" t="s">
        <v>244</v>
      </c>
      <c r="G140" s="14">
        <v>1000</v>
      </c>
      <c r="H140" s="10"/>
      <c r="I140" s="11"/>
      <c r="J140" s="12"/>
    </row>
    <row r="141" spans="1:10">
      <c r="A141" s="8">
        <v>419</v>
      </c>
      <c r="B141" s="16" t="s">
        <v>304</v>
      </c>
      <c r="C141" s="7" t="s">
        <v>360</v>
      </c>
      <c r="D141" s="16"/>
      <c r="E141" s="8" t="s">
        <v>3</v>
      </c>
      <c r="F141" s="9" t="s">
        <v>305</v>
      </c>
      <c r="G141" s="14">
        <v>860</v>
      </c>
      <c r="H141" s="10"/>
      <c r="I141" s="11"/>
      <c r="J141" s="12"/>
    </row>
    <row r="142" spans="1:10">
      <c r="A142" s="8">
        <v>14835</v>
      </c>
      <c r="B142" s="16" t="s">
        <v>306</v>
      </c>
      <c r="C142" s="7" t="s">
        <v>360</v>
      </c>
      <c r="D142" s="16"/>
      <c r="E142" s="8" t="s">
        <v>3</v>
      </c>
      <c r="F142" s="21" t="s">
        <v>307</v>
      </c>
      <c r="G142" s="14">
        <v>1500</v>
      </c>
      <c r="H142" s="10"/>
      <c r="I142" s="11"/>
      <c r="J142" s="12"/>
    </row>
    <row r="143" spans="1:10">
      <c r="A143" s="8"/>
      <c r="B143" s="16" t="s">
        <v>308</v>
      </c>
      <c r="C143" s="7" t="s">
        <v>360</v>
      </c>
      <c r="D143" s="16"/>
      <c r="E143" s="8" t="s">
        <v>92</v>
      </c>
      <c r="F143" s="9" t="s">
        <v>309</v>
      </c>
      <c r="G143" s="14">
        <v>500</v>
      </c>
      <c r="H143" s="10"/>
      <c r="I143" s="11"/>
      <c r="J143" s="12"/>
    </row>
    <row r="144" spans="1:10">
      <c r="A144" s="8"/>
      <c r="B144" s="16" t="s">
        <v>308</v>
      </c>
      <c r="C144" s="7" t="s">
        <v>360</v>
      </c>
      <c r="D144" s="16"/>
      <c r="E144" s="8" t="s">
        <v>3</v>
      </c>
      <c r="F144" s="9" t="s">
        <v>310</v>
      </c>
      <c r="G144" s="14">
        <v>1110</v>
      </c>
      <c r="H144" s="10"/>
      <c r="I144" s="11"/>
      <c r="J144" s="12"/>
    </row>
    <row r="145" spans="1:10">
      <c r="A145" s="8"/>
      <c r="B145" s="16" t="s">
        <v>308</v>
      </c>
      <c r="C145" s="7" t="s">
        <v>360</v>
      </c>
      <c r="D145" s="16"/>
      <c r="E145" s="8" t="s">
        <v>29</v>
      </c>
      <c r="F145" s="9" t="s">
        <v>311</v>
      </c>
      <c r="G145" s="14">
        <v>250</v>
      </c>
      <c r="H145" s="10"/>
      <c r="I145" s="11"/>
      <c r="J145" s="12"/>
    </row>
    <row r="146" spans="1:10">
      <c r="A146" s="8">
        <v>1220</v>
      </c>
      <c r="B146" s="16" t="s">
        <v>312</v>
      </c>
      <c r="C146" s="7" t="s">
        <v>361</v>
      </c>
      <c r="D146" s="16"/>
      <c r="E146" s="8" t="s">
        <v>9</v>
      </c>
      <c r="F146" s="9" t="s">
        <v>276</v>
      </c>
      <c r="G146" s="14">
        <v>1000</v>
      </c>
      <c r="H146" s="10"/>
      <c r="I146" s="11"/>
      <c r="J146" s="12"/>
    </row>
    <row r="147" spans="1:10">
      <c r="A147" s="8"/>
      <c r="B147" s="16" t="s">
        <v>313</v>
      </c>
      <c r="C147" s="7" t="s">
        <v>361</v>
      </c>
      <c r="D147" s="16"/>
      <c r="E147" s="8" t="s">
        <v>13</v>
      </c>
      <c r="F147" s="9" t="s">
        <v>314</v>
      </c>
      <c r="G147" s="14">
        <v>1400</v>
      </c>
      <c r="H147" s="10"/>
      <c r="I147" s="11"/>
      <c r="J147" s="12"/>
    </row>
    <row r="148" spans="1:10">
      <c r="A148" s="8"/>
      <c r="B148" s="16" t="s">
        <v>315</v>
      </c>
      <c r="C148" s="7" t="s">
        <v>361</v>
      </c>
      <c r="D148" s="16"/>
      <c r="E148" s="8" t="s">
        <v>42</v>
      </c>
      <c r="F148" s="9" t="s">
        <v>316</v>
      </c>
      <c r="G148" s="14">
        <v>3000</v>
      </c>
      <c r="H148" s="10"/>
      <c r="I148" s="14"/>
      <c r="J148" s="12"/>
    </row>
    <row r="149" spans="1:10">
      <c r="A149" s="8">
        <v>13</v>
      </c>
      <c r="B149" s="16" t="s">
        <v>317</v>
      </c>
      <c r="C149" s="7" t="s">
        <v>361</v>
      </c>
      <c r="D149" s="16"/>
      <c r="E149" s="8" t="s">
        <v>42</v>
      </c>
      <c r="F149" s="9" t="s">
        <v>318</v>
      </c>
      <c r="G149" s="14">
        <v>9400</v>
      </c>
      <c r="H149" s="14"/>
      <c r="I149" s="11"/>
      <c r="J149" s="12"/>
    </row>
    <row r="150" spans="1:10">
      <c r="A150" s="8"/>
      <c r="B150" s="16" t="s">
        <v>319</v>
      </c>
      <c r="C150" s="7" t="s">
        <v>361</v>
      </c>
      <c r="D150" s="16"/>
      <c r="E150" s="8" t="s">
        <v>42</v>
      </c>
      <c r="F150" s="9" t="s">
        <v>320</v>
      </c>
      <c r="G150" s="14">
        <v>700</v>
      </c>
      <c r="H150" s="14"/>
      <c r="I150" s="11"/>
      <c r="J150" s="12"/>
    </row>
    <row r="151" spans="1:10">
      <c r="A151" s="8"/>
      <c r="B151" s="16" t="s">
        <v>321</v>
      </c>
      <c r="C151" s="7" t="s">
        <v>361</v>
      </c>
      <c r="D151" s="16"/>
      <c r="E151" s="8" t="s">
        <v>3</v>
      </c>
      <c r="F151" s="9" t="s">
        <v>244</v>
      </c>
      <c r="G151" s="14">
        <v>1180</v>
      </c>
      <c r="H151" s="14"/>
      <c r="I151" s="11"/>
      <c r="J151" s="12"/>
    </row>
    <row r="152" spans="1:10">
      <c r="A152" s="8">
        <v>430</v>
      </c>
      <c r="B152" s="16" t="s">
        <v>322</v>
      </c>
      <c r="C152" s="7" t="s">
        <v>361</v>
      </c>
      <c r="D152" s="16"/>
      <c r="E152" s="8" t="s">
        <v>3</v>
      </c>
      <c r="F152" s="9" t="s">
        <v>323</v>
      </c>
      <c r="G152" s="14">
        <v>410</v>
      </c>
      <c r="H152" s="14"/>
      <c r="I152" s="11"/>
      <c r="J152" s="12"/>
    </row>
    <row r="153" spans="1:10">
      <c r="A153" s="8"/>
      <c r="B153" s="16" t="s">
        <v>324</v>
      </c>
      <c r="C153" s="7" t="s">
        <v>361</v>
      </c>
      <c r="D153" s="16"/>
      <c r="E153" s="8" t="s">
        <v>29</v>
      </c>
      <c r="F153" s="9" t="s">
        <v>325</v>
      </c>
      <c r="G153" s="14">
        <v>210</v>
      </c>
      <c r="H153" s="14"/>
      <c r="I153" s="11"/>
      <c r="J153" s="12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VPI</dc:creator>
  <cp:lastModifiedBy>Tech House</cp:lastModifiedBy>
  <dcterms:created xsi:type="dcterms:W3CDTF">2026-09-07T05:20:12Z</dcterms:created>
  <dcterms:modified xsi:type="dcterms:W3CDTF">2026-09-08T08:50:35Z</dcterms:modified>
</cp:coreProperties>
</file>